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ols" sheetId="2" state="visible" r:id="rId2"/>
    <sheet xmlns:r="http://schemas.openxmlformats.org/officeDocument/2006/relationships" name="Payout_Table" sheetId="3" state="visible" r:id="rId3"/>
    <sheet xmlns:r="http://schemas.openxmlformats.org/officeDocument/2006/relationships" name="Config_Summary" sheetId="4" state="visible" r:id="rId4"/>
    <sheet xmlns:r="http://schemas.openxmlformats.org/officeDocument/2006/relationships" name="Validation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0%"/>
  </numFmts>
  <fonts count="7">
    <font>
      <name val="Calibri"/>
      <family val="2"/>
      <color theme="1"/>
      <sz val="11"/>
      <scheme val="minor"/>
    </font>
    <font>
      <name val="Aptos"/>
      <b val="1"/>
      <color rgb="001F4E79"/>
      <sz val="16"/>
    </font>
    <font>
      <name val="Aptos"/>
      <i val="1"/>
      <color rgb="00666666"/>
      <sz val="10.5"/>
    </font>
    <font>
      <name val="Aptos"/>
      <b val="1"/>
      <color rgb="001F4E79"/>
      <sz val="12"/>
    </font>
    <font>
      <name val="Aptos"/>
      <sz val="10.5"/>
    </font>
    <font>
      <name val="Aptos"/>
      <b val="1"/>
      <color rgb="00666666"/>
      <sz val="10.5"/>
    </font>
    <font>
      <name val="Aptos"/>
      <b val="1"/>
      <color rgb="00000000"/>
      <sz val="10.5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/>
    </xf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DE9E7"/>
          <b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B4" authorId="0" shapeId="0">
      <text>
        <t>Chosen slightly above 90% to keep every configuration strictly above 90% after runtime rounding.</t>
      </text>
    </comment>
  </commentList>
</comments>
</file>

<file path=xl/tables/table1.xml><?xml version="1.0" encoding="utf-8"?>
<table xmlns="http://schemas.openxmlformats.org/spreadsheetml/2006/main" id="1" name="PayoutTable" displayName="PayoutTable" ref="A3:J2265" headerRowCount="1">
  <autoFilter ref="A3:J2265"/>
  <tableColumns count="10">
    <tableColumn id="1" name="grid_size"/>
    <tableColumn id="2" name="mine_count"/>
    <tableColumn id="3" name="max_safe_reveals"/>
    <tableColumn id="4" name="safe_reveal_n"/>
    <tableColumn id="5" name="fair_multiplier"/>
    <tableColumn id="6" name="runtime_multiplier"/>
    <tableColumn id="7" name="actual_rtp"/>
    <tableColumn id="8" name="prob_safe_next"/>
    <tableColumn id="9" name="config_key"/>
    <tableColumn id="10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nfigSummary" displayName="ConfigSummary" ref="A3:J133" headerRowCount="1">
  <autoFilter ref="A3:J133"/>
  <tableColumns count="10">
    <tableColumn id="1" name="grid_size"/>
    <tableColumn id="2" name="mine_count"/>
    <tableColumn id="3" name="max_safe_reveals"/>
    <tableColumn id="4" name="row_count"/>
    <tableColumn id="5" name="min_actual_rtp"/>
    <tableColumn id="6" name="max_actual_rtp"/>
    <tableColumn id="7" name="avg_actual_rtp"/>
    <tableColumn id="8" name="first_step_runtime"/>
    <tableColumn id="9" name="last_step_runtime"/>
    <tableColumn id="10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CasinoKing - Documento 07 - Allegato A</t>
        </is>
      </c>
    </row>
    <row r="2">
      <c r="A2" s="2" t="inlineStr">
        <is>
          <t>Mines Payout Table, RTP Validation e Config Analysis</t>
        </is>
      </c>
    </row>
    <row r="3"/>
    <row r="4">
      <c r="A4" s="3" t="inlineStr">
        <is>
          <t>Scopo</t>
        </is>
      </c>
    </row>
    <row r="5">
      <c r="A5" s="4" t="inlineStr">
        <is>
          <t>Questo file Excel contiene la payout table completa di Mines per le griglie 9, 16, 25, 36 e 49.</t>
        </is>
      </c>
    </row>
    <row r="6">
      <c r="A6" s="4" t="inlineStr">
        <is>
          <t>Ogni configurazione usa un target RTP operativo &gt; 90% e &lt; 100%, il più vicino possibile al 90%.</t>
        </is>
      </c>
    </row>
    <row r="7">
      <c r="A7" s="4" t="inlineStr"/>
    </row>
    <row r="8">
      <c r="A8" s="3" t="inlineStr">
        <is>
          <t>Decisioni fissate</t>
        </is>
      </c>
    </row>
    <row r="9">
      <c r="A9" s="4" t="inlineStr">
        <is>
          <t>1. Le payout runtime sono ottenute dal fair multiplier moltiplicato per il target RTP e arrotondate SEMPRE verso l'alto a 4 decimali.</t>
        </is>
      </c>
    </row>
    <row r="10">
      <c r="A10" s="4" t="inlineStr">
        <is>
          <t>2. Questo garantisce che l'RTP reale non scenda sotto la soglia target per effetto del rounding.</t>
        </is>
      </c>
    </row>
    <row r="11">
      <c r="A11" s="4" t="inlineStr">
        <is>
          <t>3. Il file e' pensato come allegato operativo dei documenti metodologici; la tabella e' pronta per essere esportata in JSON/CSV runtime-ready.</t>
        </is>
      </c>
    </row>
    <row r="12">
      <c r="A12" s="4" t="inlineStr"/>
    </row>
    <row r="13">
      <c r="A13" s="3" t="inlineStr">
        <is>
          <t>Sheet guide</t>
        </is>
      </c>
    </row>
    <row r="14">
      <c r="A14" s="4" t="inlineStr">
        <is>
          <t>- README: note operative e convenzioni</t>
        </is>
      </c>
    </row>
    <row r="15">
      <c r="A15" s="4" t="inlineStr">
        <is>
          <t>- Controls: parametri globali e convenzioni numeriche</t>
        </is>
      </c>
    </row>
    <row r="16">
      <c r="A16" s="4" t="inlineStr">
        <is>
          <t>- Config_Summary: sintesi per ogni combinazione grid_size / mine_count</t>
        </is>
      </c>
    </row>
    <row r="17">
      <c r="A17" s="4" t="inlineStr">
        <is>
          <t>- Payout_Table: tabella completa dei moltiplicatori per ogni safe reveal step</t>
        </is>
      </c>
    </row>
    <row r="18">
      <c r="A18" s="4" t="inlineStr">
        <is>
          <t>- Validation: controlli di conformita' RTP e statistiche globali</t>
        </is>
      </c>
    </row>
    <row r="19"/>
    <row r="20">
      <c r="A20" s="3" t="inlineStr">
        <is>
          <t>Naming</t>
        </is>
      </c>
    </row>
    <row r="21">
      <c r="A21" t="inlineStr">
        <is>
          <t>Questo file e' nominato come allegato coerente del Documento 07.</t>
        </is>
      </c>
    </row>
    <row r="22">
      <c r="A22" t="inlineStr">
        <is>
          <t>Nome file: CasinoKing_Documento_07_Allegato_A_Payout_Table_Mines_v3.xlsx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40" customWidth="1" min="3" max="3"/>
  </cols>
  <sheetData>
    <row r="1">
      <c r="A1" s="1" t="inlineStr">
        <is>
          <t>Controls</t>
        </is>
      </c>
    </row>
    <row r="2">
      <c r="A2" s="2" t="inlineStr">
        <is>
          <t>Parametri globali del modello</t>
        </is>
      </c>
    </row>
    <row r="3">
      <c r="A3" s="5" t="inlineStr">
        <is>
          <t>Control</t>
        </is>
      </c>
      <c r="B3" s="5" t="inlineStr">
        <is>
          <t>Value</t>
        </is>
      </c>
      <c r="C3" s="5" t="inlineStr">
        <is>
          <t>Note</t>
        </is>
      </c>
    </row>
    <row r="4">
      <c r="A4" s="6" t="inlineStr">
        <is>
          <t>Target RTP operativo</t>
        </is>
      </c>
      <c r="B4" s="7" t="n">
        <v>0.9001</v>
      </c>
      <c r="C4" t="inlineStr">
        <is>
          <t>Percentuale obiettivo &gt; 90% e &lt; 100%</t>
        </is>
      </c>
    </row>
    <row r="5">
      <c r="A5" s="6" t="inlineStr">
        <is>
          <t>Display %</t>
        </is>
      </c>
      <c r="C5" t="inlineStr">
        <is>
          <t>Formattazione percentuale</t>
        </is>
      </c>
    </row>
    <row r="6">
      <c r="A6" s="6" t="inlineStr">
        <is>
          <t>Rounding runtime multiplier</t>
        </is>
      </c>
      <c r="B6" t="n">
        <v>4</v>
      </c>
      <c r="C6" t="inlineStr">
        <is>
          <t>ROUNDUP a 4 decimali</t>
        </is>
      </c>
    </row>
    <row r="7">
      <c r="A7" s="6" t="inlineStr">
        <is>
          <t>Grid size supportate</t>
        </is>
      </c>
      <c r="B7" t="inlineStr">
        <is>
          <t>9,16,25,36,49</t>
        </is>
      </c>
      <c r="C7" t="inlineStr">
        <is>
          <t>Valori attuali</t>
        </is>
      </c>
    </row>
    <row r="8">
      <c r="A8" s="6" t="inlineStr">
        <is>
          <t>Mine count policy</t>
        </is>
      </c>
      <c r="B8" t="inlineStr">
        <is>
          <t>1..N-1</t>
        </is>
      </c>
      <c r="C8" t="inlineStr">
        <is>
          <t>Configurazione completa teorica</t>
        </is>
      </c>
    </row>
    <row r="9">
      <c r="A9" s="6" t="inlineStr">
        <is>
          <t>Formula fair multiplier</t>
        </is>
      </c>
      <c r="B9" t="inlineStr">
        <is>
          <t>COMBIN(N,k)/COMBIN(N-M,k)</t>
        </is>
      </c>
      <c r="C9" t="inlineStr">
        <is>
          <t>N=celle totali; M=mine; k=safe reveals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15" customWidth="1" min="4" max="4"/>
    <col width="40" customWidth="1" min="5" max="5"/>
    <col width="33" customWidth="1" min="6" max="6"/>
    <col width="14" customWidth="1" min="7" max="7"/>
    <col width="40" customWidth="1" min="8" max="8"/>
    <col width="18" customWidth="1" min="9" max="9"/>
    <col width="40" customWidth="1" min="10" max="10"/>
  </cols>
  <sheetData>
    <row r="1">
      <c r="A1" s="1" t="inlineStr">
        <is>
          <t>Payout Table</t>
        </is>
      </c>
    </row>
    <row r="2">
      <c r="A2" s="2" t="inlineStr">
        <is>
          <t>Formula-driven full grid x mines x safe reveal matrix</t>
        </is>
      </c>
    </row>
    <row r="3">
      <c r="A3" s="8" t="inlineStr">
        <is>
          <t>grid_size</t>
        </is>
      </c>
      <c r="B3" s="8" t="inlineStr">
        <is>
          <t>mine_count</t>
        </is>
      </c>
      <c r="C3" s="8" t="inlineStr">
        <is>
          <t>max_safe_reveals</t>
        </is>
      </c>
      <c r="D3" s="8" t="inlineStr">
        <is>
          <t>safe_reveal_n</t>
        </is>
      </c>
      <c r="E3" s="8" t="inlineStr">
        <is>
          <t>fair_multiplier</t>
        </is>
      </c>
      <c r="F3" s="8" t="inlineStr">
        <is>
          <t>runtime_multiplier</t>
        </is>
      </c>
      <c r="G3" s="8" t="inlineStr">
        <is>
          <t>actual_rtp</t>
        </is>
      </c>
      <c r="H3" s="8" t="inlineStr">
        <is>
          <t>prob_safe_next</t>
        </is>
      </c>
      <c r="I3" s="8" t="inlineStr">
        <is>
          <t>config_key</t>
        </is>
      </c>
      <c r="J3" s="8" t="inlineStr">
        <is>
          <t>status</t>
        </is>
      </c>
    </row>
    <row r="4">
      <c r="A4" s="9" t="n">
        <v>9</v>
      </c>
      <c r="B4" s="9" t="n">
        <v>1</v>
      </c>
      <c r="C4" s="9" t="n">
        <v>8</v>
      </c>
      <c r="D4" s="9" t="n">
        <v>1</v>
      </c>
      <c r="E4" s="10">
        <f>COMBIN(A4,D4)/COMBIN(A4-B4,D4)</f>
        <v/>
      </c>
      <c r="F4" s="11">
        <f>ROUNDUP(E4*Controls!$B$4,4)</f>
        <v/>
      </c>
      <c r="G4" s="12">
        <f>F4/E4</f>
        <v/>
      </c>
      <c r="H4" s="10">
        <f>(A4-B4-(D4-1))/(A4-(D4-1))</f>
        <v/>
      </c>
      <c r="I4" s="9">
        <f>A4&amp;'x'&amp;B4</f>
        <v/>
      </c>
      <c r="J4" s="9">
        <f>IF(AND(G4&gt;0.9,G4&lt;1),"OK","CHECK")</f>
        <v/>
      </c>
    </row>
    <row r="5">
      <c r="A5" s="9" t="n">
        <v>9</v>
      </c>
      <c r="B5" s="9" t="n">
        <v>1</v>
      </c>
      <c r="C5" s="9" t="n">
        <v>8</v>
      </c>
      <c r="D5" s="9" t="n">
        <v>2</v>
      </c>
      <c r="E5" s="10">
        <f>COMBIN(A5,D5)/COMBIN(A5-B5,D5)</f>
        <v/>
      </c>
      <c r="F5" s="11">
        <f>ROUNDUP(E5*Controls!$B$4,4)</f>
        <v/>
      </c>
      <c r="G5" s="12">
        <f>F5/E5</f>
        <v/>
      </c>
      <c r="H5" s="10">
        <f>(A5-B5-(D5-1))/(A5-(D5-1))</f>
        <v/>
      </c>
      <c r="I5" s="9">
        <f>A5&amp;'x'&amp;B5</f>
        <v/>
      </c>
      <c r="J5" s="9">
        <f>IF(AND(G5&gt;0.9,G5&lt;1),"OK","CHECK")</f>
        <v/>
      </c>
    </row>
    <row r="6">
      <c r="A6" s="9" t="n">
        <v>9</v>
      </c>
      <c r="B6" s="9" t="n">
        <v>1</v>
      </c>
      <c r="C6" s="9" t="n">
        <v>8</v>
      </c>
      <c r="D6" s="9" t="n">
        <v>3</v>
      </c>
      <c r="E6" s="10">
        <f>COMBIN(A6,D6)/COMBIN(A6-B6,D6)</f>
        <v/>
      </c>
      <c r="F6" s="11">
        <f>ROUNDUP(E6*Controls!$B$4,4)</f>
        <v/>
      </c>
      <c r="G6" s="12">
        <f>F6/E6</f>
        <v/>
      </c>
      <c r="H6" s="10">
        <f>(A6-B6-(D6-1))/(A6-(D6-1))</f>
        <v/>
      </c>
      <c r="I6" s="9">
        <f>A6&amp;'x'&amp;B6</f>
        <v/>
      </c>
      <c r="J6" s="9">
        <f>IF(AND(G6&gt;0.9,G6&lt;1),"OK","CHECK")</f>
        <v/>
      </c>
    </row>
    <row r="7">
      <c r="A7" s="9" t="n">
        <v>9</v>
      </c>
      <c r="B7" s="9" t="n">
        <v>1</v>
      </c>
      <c r="C7" s="9" t="n">
        <v>8</v>
      </c>
      <c r="D7" s="9" t="n">
        <v>4</v>
      </c>
      <c r="E7" s="10">
        <f>COMBIN(A7,D7)/COMBIN(A7-B7,D7)</f>
        <v/>
      </c>
      <c r="F7" s="11">
        <f>ROUNDUP(E7*Controls!$B$4,4)</f>
        <v/>
      </c>
      <c r="G7" s="12">
        <f>F7/E7</f>
        <v/>
      </c>
      <c r="H7" s="10">
        <f>(A7-B7-(D7-1))/(A7-(D7-1))</f>
        <v/>
      </c>
      <c r="I7" s="9">
        <f>A7&amp;'x'&amp;B7</f>
        <v/>
      </c>
      <c r="J7" s="9">
        <f>IF(AND(G7&gt;0.9,G7&lt;1),"OK","CHECK")</f>
        <v/>
      </c>
    </row>
    <row r="8">
      <c r="A8" s="9" t="n">
        <v>9</v>
      </c>
      <c r="B8" s="9" t="n">
        <v>1</v>
      </c>
      <c r="C8" s="9" t="n">
        <v>8</v>
      </c>
      <c r="D8" s="9" t="n">
        <v>5</v>
      </c>
      <c r="E8" s="10">
        <f>COMBIN(A8,D8)/COMBIN(A8-B8,D8)</f>
        <v/>
      </c>
      <c r="F8" s="11">
        <f>ROUNDUP(E8*Controls!$B$4,4)</f>
        <v/>
      </c>
      <c r="G8" s="12">
        <f>F8/E8</f>
        <v/>
      </c>
      <c r="H8" s="10">
        <f>(A8-B8-(D8-1))/(A8-(D8-1))</f>
        <v/>
      </c>
      <c r="I8" s="9">
        <f>A8&amp;'x'&amp;B8</f>
        <v/>
      </c>
      <c r="J8" s="9">
        <f>IF(AND(G8&gt;0.9,G8&lt;1),"OK","CHECK")</f>
        <v/>
      </c>
    </row>
    <row r="9">
      <c r="A9" s="9" t="n">
        <v>9</v>
      </c>
      <c r="B9" s="9" t="n">
        <v>1</v>
      </c>
      <c r="C9" s="9" t="n">
        <v>8</v>
      </c>
      <c r="D9" s="9" t="n">
        <v>6</v>
      </c>
      <c r="E9" s="10">
        <f>COMBIN(A9,D9)/COMBIN(A9-B9,D9)</f>
        <v/>
      </c>
      <c r="F9" s="11">
        <f>ROUNDUP(E9*Controls!$B$4,4)</f>
        <v/>
      </c>
      <c r="G9" s="12">
        <f>F9/E9</f>
        <v/>
      </c>
      <c r="H9" s="10">
        <f>(A9-B9-(D9-1))/(A9-(D9-1))</f>
        <v/>
      </c>
      <c r="I9" s="9">
        <f>A9&amp;'x'&amp;B9</f>
        <v/>
      </c>
      <c r="J9" s="9">
        <f>IF(AND(G9&gt;0.9,G9&lt;1),"OK","CHECK")</f>
        <v/>
      </c>
    </row>
    <row r="10">
      <c r="A10" s="9" t="n">
        <v>9</v>
      </c>
      <c r="B10" s="9" t="n">
        <v>1</v>
      </c>
      <c r="C10" s="9" t="n">
        <v>8</v>
      </c>
      <c r="D10" s="9" t="n">
        <v>7</v>
      </c>
      <c r="E10" s="10">
        <f>COMBIN(A10,D10)/COMBIN(A10-B10,D10)</f>
        <v/>
      </c>
      <c r="F10" s="11">
        <f>ROUNDUP(E10*Controls!$B$4,4)</f>
        <v/>
      </c>
      <c r="G10" s="12">
        <f>F10/E10</f>
        <v/>
      </c>
      <c r="H10" s="10">
        <f>(A10-B10-(D10-1))/(A10-(D10-1))</f>
        <v/>
      </c>
      <c r="I10" s="9">
        <f>A10&amp;'x'&amp;B10</f>
        <v/>
      </c>
      <c r="J10" s="9">
        <f>IF(AND(G10&gt;0.9,G10&lt;1),"OK","CHECK")</f>
        <v/>
      </c>
    </row>
    <row r="11">
      <c r="A11" s="9" t="n">
        <v>9</v>
      </c>
      <c r="B11" s="9" t="n">
        <v>1</v>
      </c>
      <c r="C11" s="9" t="n">
        <v>8</v>
      </c>
      <c r="D11" s="9" t="n">
        <v>8</v>
      </c>
      <c r="E11" s="10">
        <f>COMBIN(A11,D11)/COMBIN(A11-B11,D11)</f>
        <v/>
      </c>
      <c r="F11" s="11">
        <f>ROUNDUP(E11*Controls!$B$4,4)</f>
        <v/>
      </c>
      <c r="G11" s="12">
        <f>F11/E11</f>
        <v/>
      </c>
      <c r="H11" s="10">
        <f>(A11-B11-(D11-1))/(A11-(D11-1))</f>
        <v/>
      </c>
      <c r="I11" s="9">
        <f>A11&amp;'x'&amp;B11</f>
        <v/>
      </c>
      <c r="J11" s="9">
        <f>IF(AND(G11&gt;0.9,G11&lt;1),"OK","CHECK")</f>
        <v/>
      </c>
    </row>
    <row r="12">
      <c r="A12" s="9" t="n">
        <v>9</v>
      </c>
      <c r="B12" s="9" t="n">
        <v>2</v>
      </c>
      <c r="C12" s="9" t="n">
        <v>7</v>
      </c>
      <c r="D12" s="9" t="n">
        <v>1</v>
      </c>
      <c r="E12" s="10">
        <f>COMBIN(A12,D12)/COMBIN(A12-B12,D12)</f>
        <v/>
      </c>
      <c r="F12" s="11">
        <f>ROUNDUP(E12*Controls!$B$4,4)</f>
        <v/>
      </c>
      <c r="G12" s="12">
        <f>F12/E12</f>
        <v/>
      </c>
      <c r="H12" s="10">
        <f>(A12-B12-(D12-1))/(A12-(D12-1))</f>
        <v/>
      </c>
      <c r="I12" s="9">
        <f>A12&amp;'x'&amp;B12</f>
        <v/>
      </c>
      <c r="J12" s="9">
        <f>IF(AND(G12&gt;0.9,G12&lt;1),"OK","CHECK")</f>
        <v/>
      </c>
    </row>
    <row r="13">
      <c r="A13" s="9" t="n">
        <v>9</v>
      </c>
      <c r="B13" s="9" t="n">
        <v>2</v>
      </c>
      <c r="C13" s="9" t="n">
        <v>7</v>
      </c>
      <c r="D13" s="9" t="n">
        <v>2</v>
      </c>
      <c r="E13" s="10">
        <f>COMBIN(A13,D13)/COMBIN(A13-B13,D13)</f>
        <v/>
      </c>
      <c r="F13" s="11">
        <f>ROUNDUP(E13*Controls!$B$4,4)</f>
        <v/>
      </c>
      <c r="G13" s="12">
        <f>F13/E13</f>
        <v/>
      </c>
      <c r="H13" s="10">
        <f>(A13-B13-(D13-1))/(A13-(D13-1))</f>
        <v/>
      </c>
      <c r="I13" s="9">
        <f>A13&amp;'x'&amp;B13</f>
        <v/>
      </c>
      <c r="J13" s="9">
        <f>IF(AND(G13&gt;0.9,G13&lt;1),"OK","CHECK")</f>
        <v/>
      </c>
    </row>
    <row r="14">
      <c r="A14" s="9" t="n">
        <v>9</v>
      </c>
      <c r="B14" s="9" t="n">
        <v>2</v>
      </c>
      <c r="C14" s="9" t="n">
        <v>7</v>
      </c>
      <c r="D14" s="9" t="n">
        <v>3</v>
      </c>
      <c r="E14" s="10">
        <f>COMBIN(A14,D14)/COMBIN(A14-B14,D14)</f>
        <v/>
      </c>
      <c r="F14" s="11">
        <f>ROUNDUP(E14*Controls!$B$4,4)</f>
        <v/>
      </c>
      <c r="G14" s="12">
        <f>F14/E14</f>
        <v/>
      </c>
      <c r="H14" s="10">
        <f>(A14-B14-(D14-1))/(A14-(D14-1))</f>
        <v/>
      </c>
      <c r="I14" s="9">
        <f>A14&amp;'x'&amp;B14</f>
        <v/>
      </c>
      <c r="J14" s="9">
        <f>IF(AND(G14&gt;0.9,G14&lt;1),"OK","CHECK")</f>
        <v/>
      </c>
    </row>
    <row r="15">
      <c r="A15" s="9" t="n">
        <v>9</v>
      </c>
      <c r="B15" s="9" t="n">
        <v>2</v>
      </c>
      <c r="C15" s="9" t="n">
        <v>7</v>
      </c>
      <c r="D15" s="9" t="n">
        <v>4</v>
      </c>
      <c r="E15" s="10">
        <f>COMBIN(A15,D15)/COMBIN(A15-B15,D15)</f>
        <v/>
      </c>
      <c r="F15" s="11">
        <f>ROUNDUP(E15*Controls!$B$4,4)</f>
        <v/>
      </c>
      <c r="G15" s="12">
        <f>F15/E15</f>
        <v/>
      </c>
      <c r="H15" s="10">
        <f>(A15-B15-(D15-1))/(A15-(D15-1))</f>
        <v/>
      </c>
      <c r="I15" s="9">
        <f>A15&amp;'x'&amp;B15</f>
        <v/>
      </c>
      <c r="J15" s="9">
        <f>IF(AND(G15&gt;0.9,G15&lt;1),"OK","CHECK")</f>
        <v/>
      </c>
    </row>
    <row r="16">
      <c r="A16" s="9" t="n">
        <v>9</v>
      </c>
      <c r="B16" s="9" t="n">
        <v>2</v>
      </c>
      <c r="C16" s="9" t="n">
        <v>7</v>
      </c>
      <c r="D16" s="9" t="n">
        <v>5</v>
      </c>
      <c r="E16" s="10">
        <f>COMBIN(A16,D16)/COMBIN(A16-B16,D16)</f>
        <v/>
      </c>
      <c r="F16" s="11">
        <f>ROUNDUP(E16*Controls!$B$4,4)</f>
        <v/>
      </c>
      <c r="G16" s="12">
        <f>F16/E16</f>
        <v/>
      </c>
      <c r="H16" s="10">
        <f>(A16-B16-(D16-1))/(A16-(D16-1))</f>
        <v/>
      </c>
      <c r="I16" s="9">
        <f>A16&amp;'x'&amp;B16</f>
        <v/>
      </c>
      <c r="J16" s="9">
        <f>IF(AND(G16&gt;0.9,G16&lt;1),"OK","CHECK")</f>
        <v/>
      </c>
    </row>
    <row r="17">
      <c r="A17" s="9" t="n">
        <v>9</v>
      </c>
      <c r="B17" s="9" t="n">
        <v>2</v>
      </c>
      <c r="C17" s="9" t="n">
        <v>7</v>
      </c>
      <c r="D17" s="9" t="n">
        <v>6</v>
      </c>
      <c r="E17" s="10">
        <f>COMBIN(A17,D17)/COMBIN(A17-B17,D17)</f>
        <v/>
      </c>
      <c r="F17" s="11">
        <f>ROUNDUP(E17*Controls!$B$4,4)</f>
        <v/>
      </c>
      <c r="G17" s="12">
        <f>F17/E17</f>
        <v/>
      </c>
      <c r="H17" s="10">
        <f>(A17-B17-(D17-1))/(A17-(D17-1))</f>
        <v/>
      </c>
      <c r="I17" s="9">
        <f>A17&amp;'x'&amp;B17</f>
        <v/>
      </c>
      <c r="J17" s="9">
        <f>IF(AND(G17&gt;0.9,G17&lt;1),"OK","CHECK")</f>
        <v/>
      </c>
    </row>
    <row r="18">
      <c r="A18" s="9" t="n">
        <v>9</v>
      </c>
      <c r="B18" s="9" t="n">
        <v>2</v>
      </c>
      <c r="C18" s="9" t="n">
        <v>7</v>
      </c>
      <c r="D18" s="9" t="n">
        <v>7</v>
      </c>
      <c r="E18" s="10">
        <f>COMBIN(A18,D18)/COMBIN(A18-B18,D18)</f>
        <v/>
      </c>
      <c r="F18" s="11">
        <f>ROUNDUP(E18*Controls!$B$4,4)</f>
        <v/>
      </c>
      <c r="G18" s="12">
        <f>F18/E18</f>
        <v/>
      </c>
      <c r="H18" s="10">
        <f>(A18-B18-(D18-1))/(A18-(D18-1))</f>
        <v/>
      </c>
      <c r="I18" s="9">
        <f>A18&amp;'x'&amp;B18</f>
        <v/>
      </c>
      <c r="J18" s="9">
        <f>IF(AND(G18&gt;0.9,G18&lt;1),"OK","CHECK")</f>
        <v/>
      </c>
    </row>
    <row r="19">
      <c r="A19" s="9" t="n">
        <v>9</v>
      </c>
      <c r="B19" s="9" t="n">
        <v>3</v>
      </c>
      <c r="C19" s="9" t="n">
        <v>6</v>
      </c>
      <c r="D19" s="9" t="n">
        <v>1</v>
      </c>
      <c r="E19" s="10">
        <f>COMBIN(A19,D19)/COMBIN(A19-B19,D19)</f>
        <v/>
      </c>
      <c r="F19" s="11">
        <f>ROUNDUP(E19*Controls!$B$4,4)</f>
        <v/>
      </c>
      <c r="G19" s="12">
        <f>F19/E19</f>
        <v/>
      </c>
      <c r="H19" s="10">
        <f>(A19-B19-(D19-1))/(A19-(D19-1))</f>
        <v/>
      </c>
      <c r="I19" s="9">
        <f>A19&amp;'x'&amp;B19</f>
        <v/>
      </c>
      <c r="J19" s="9">
        <f>IF(AND(G19&gt;0.9,G19&lt;1),"OK","CHECK")</f>
        <v/>
      </c>
    </row>
    <row r="20">
      <c r="A20" s="9" t="n">
        <v>9</v>
      </c>
      <c r="B20" s="9" t="n">
        <v>3</v>
      </c>
      <c r="C20" s="9" t="n">
        <v>6</v>
      </c>
      <c r="D20" s="9" t="n">
        <v>2</v>
      </c>
      <c r="E20" s="10">
        <f>COMBIN(A20,D20)/COMBIN(A20-B20,D20)</f>
        <v/>
      </c>
      <c r="F20" s="11">
        <f>ROUNDUP(E20*Controls!$B$4,4)</f>
        <v/>
      </c>
      <c r="G20" s="12">
        <f>F20/E20</f>
        <v/>
      </c>
      <c r="H20" s="10">
        <f>(A20-B20-(D20-1))/(A20-(D20-1))</f>
        <v/>
      </c>
      <c r="I20" s="9">
        <f>A20&amp;'x'&amp;B20</f>
        <v/>
      </c>
      <c r="J20" s="9">
        <f>IF(AND(G20&gt;0.9,G20&lt;1),"OK","CHECK")</f>
        <v/>
      </c>
    </row>
    <row r="21">
      <c r="A21" s="9" t="n">
        <v>9</v>
      </c>
      <c r="B21" s="9" t="n">
        <v>3</v>
      </c>
      <c r="C21" s="9" t="n">
        <v>6</v>
      </c>
      <c r="D21" s="9" t="n">
        <v>3</v>
      </c>
      <c r="E21" s="10">
        <f>COMBIN(A21,D21)/COMBIN(A21-B21,D21)</f>
        <v/>
      </c>
      <c r="F21" s="11">
        <f>ROUNDUP(E21*Controls!$B$4,4)</f>
        <v/>
      </c>
      <c r="G21" s="12">
        <f>F21/E21</f>
        <v/>
      </c>
      <c r="H21" s="10">
        <f>(A21-B21-(D21-1))/(A21-(D21-1))</f>
        <v/>
      </c>
      <c r="I21" s="9">
        <f>A21&amp;'x'&amp;B21</f>
        <v/>
      </c>
      <c r="J21" s="9">
        <f>IF(AND(G21&gt;0.9,G21&lt;1),"OK","CHECK")</f>
        <v/>
      </c>
    </row>
    <row r="22">
      <c r="A22" s="9" t="n">
        <v>9</v>
      </c>
      <c r="B22" s="9" t="n">
        <v>3</v>
      </c>
      <c r="C22" s="9" t="n">
        <v>6</v>
      </c>
      <c r="D22" s="9" t="n">
        <v>4</v>
      </c>
      <c r="E22" s="10">
        <f>COMBIN(A22,D22)/COMBIN(A22-B22,D22)</f>
        <v/>
      </c>
      <c r="F22" s="11">
        <f>ROUNDUP(E22*Controls!$B$4,4)</f>
        <v/>
      </c>
      <c r="G22" s="12">
        <f>F22/E22</f>
        <v/>
      </c>
      <c r="H22" s="10">
        <f>(A22-B22-(D22-1))/(A22-(D22-1))</f>
        <v/>
      </c>
      <c r="I22" s="9">
        <f>A22&amp;'x'&amp;B22</f>
        <v/>
      </c>
      <c r="J22" s="9">
        <f>IF(AND(G22&gt;0.9,G22&lt;1),"OK","CHECK")</f>
        <v/>
      </c>
    </row>
    <row r="23">
      <c r="A23" s="9" t="n">
        <v>9</v>
      </c>
      <c r="B23" s="9" t="n">
        <v>3</v>
      </c>
      <c r="C23" s="9" t="n">
        <v>6</v>
      </c>
      <c r="D23" s="9" t="n">
        <v>5</v>
      </c>
      <c r="E23" s="10">
        <f>COMBIN(A23,D23)/COMBIN(A23-B23,D23)</f>
        <v/>
      </c>
      <c r="F23" s="11">
        <f>ROUNDUP(E23*Controls!$B$4,4)</f>
        <v/>
      </c>
      <c r="G23" s="12">
        <f>F23/E23</f>
        <v/>
      </c>
      <c r="H23" s="10">
        <f>(A23-B23-(D23-1))/(A23-(D23-1))</f>
        <v/>
      </c>
      <c r="I23" s="9">
        <f>A23&amp;'x'&amp;B23</f>
        <v/>
      </c>
      <c r="J23" s="9">
        <f>IF(AND(G23&gt;0.9,G23&lt;1),"OK","CHECK")</f>
        <v/>
      </c>
    </row>
    <row r="24">
      <c r="A24" s="9" t="n">
        <v>9</v>
      </c>
      <c r="B24" s="9" t="n">
        <v>3</v>
      </c>
      <c r="C24" s="9" t="n">
        <v>6</v>
      </c>
      <c r="D24" s="9" t="n">
        <v>6</v>
      </c>
      <c r="E24" s="10">
        <f>COMBIN(A24,D24)/COMBIN(A24-B24,D24)</f>
        <v/>
      </c>
      <c r="F24" s="11">
        <f>ROUNDUP(E24*Controls!$B$4,4)</f>
        <v/>
      </c>
      <c r="G24" s="12">
        <f>F24/E24</f>
        <v/>
      </c>
      <c r="H24" s="10">
        <f>(A24-B24-(D24-1))/(A24-(D24-1))</f>
        <v/>
      </c>
      <c r="I24" s="9">
        <f>A24&amp;'x'&amp;B24</f>
        <v/>
      </c>
      <c r="J24" s="9">
        <f>IF(AND(G24&gt;0.9,G24&lt;1),"OK","CHECK")</f>
        <v/>
      </c>
    </row>
    <row r="25">
      <c r="A25" s="9" t="n">
        <v>9</v>
      </c>
      <c r="B25" s="9" t="n">
        <v>4</v>
      </c>
      <c r="C25" s="9" t="n">
        <v>5</v>
      </c>
      <c r="D25" s="9" t="n">
        <v>1</v>
      </c>
      <c r="E25" s="10">
        <f>COMBIN(A25,D25)/COMBIN(A25-B25,D25)</f>
        <v/>
      </c>
      <c r="F25" s="11">
        <f>ROUNDUP(E25*Controls!$B$4,4)</f>
        <v/>
      </c>
      <c r="G25" s="12">
        <f>F25/E25</f>
        <v/>
      </c>
      <c r="H25" s="10">
        <f>(A25-B25-(D25-1))/(A25-(D25-1))</f>
        <v/>
      </c>
      <c r="I25" s="9">
        <f>A25&amp;'x'&amp;B25</f>
        <v/>
      </c>
      <c r="J25" s="9">
        <f>IF(AND(G25&gt;0.9,G25&lt;1),"OK","CHECK")</f>
        <v/>
      </c>
    </row>
    <row r="26">
      <c r="A26" s="9" t="n">
        <v>9</v>
      </c>
      <c r="B26" s="9" t="n">
        <v>4</v>
      </c>
      <c r="C26" s="9" t="n">
        <v>5</v>
      </c>
      <c r="D26" s="9" t="n">
        <v>2</v>
      </c>
      <c r="E26" s="10">
        <f>COMBIN(A26,D26)/COMBIN(A26-B26,D26)</f>
        <v/>
      </c>
      <c r="F26" s="11">
        <f>ROUNDUP(E26*Controls!$B$4,4)</f>
        <v/>
      </c>
      <c r="G26" s="12">
        <f>F26/E26</f>
        <v/>
      </c>
      <c r="H26" s="10">
        <f>(A26-B26-(D26-1))/(A26-(D26-1))</f>
        <v/>
      </c>
      <c r="I26" s="9">
        <f>A26&amp;'x'&amp;B26</f>
        <v/>
      </c>
      <c r="J26" s="9">
        <f>IF(AND(G26&gt;0.9,G26&lt;1),"OK","CHECK")</f>
        <v/>
      </c>
    </row>
    <row r="27">
      <c r="A27" s="9" t="n">
        <v>9</v>
      </c>
      <c r="B27" s="9" t="n">
        <v>4</v>
      </c>
      <c r="C27" s="9" t="n">
        <v>5</v>
      </c>
      <c r="D27" s="9" t="n">
        <v>3</v>
      </c>
      <c r="E27" s="10">
        <f>COMBIN(A27,D27)/COMBIN(A27-B27,D27)</f>
        <v/>
      </c>
      <c r="F27" s="11">
        <f>ROUNDUP(E27*Controls!$B$4,4)</f>
        <v/>
      </c>
      <c r="G27" s="12">
        <f>F27/E27</f>
        <v/>
      </c>
      <c r="H27" s="10">
        <f>(A27-B27-(D27-1))/(A27-(D27-1))</f>
        <v/>
      </c>
      <c r="I27" s="9">
        <f>A27&amp;'x'&amp;B27</f>
        <v/>
      </c>
      <c r="J27" s="9">
        <f>IF(AND(G27&gt;0.9,G27&lt;1),"OK","CHECK")</f>
        <v/>
      </c>
    </row>
    <row r="28">
      <c r="A28" s="9" t="n">
        <v>9</v>
      </c>
      <c r="B28" s="9" t="n">
        <v>4</v>
      </c>
      <c r="C28" s="9" t="n">
        <v>5</v>
      </c>
      <c r="D28" s="9" t="n">
        <v>4</v>
      </c>
      <c r="E28" s="10">
        <f>COMBIN(A28,D28)/COMBIN(A28-B28,D28)</f>
        <v/>
      </c>
      <c r="F28" s="11">
        <f>ROUNDUP(E28*Controls!$B$4,4)</f>
        <v/>
      </c>
      <c r="G28" s="12">
        <f>F28/E28</f>
        <v/>
      </c>
      <c r="H28" s="10">
        <f>(A28-B28-(D28-1))/(A28-(D28-1))</f>
        <v/>
      </c>
      <c r="I28" s="9">
        <f>A28&amp;'x'&amp;B28</f>
        <v/>
      </c>
      <c r="J28" s="9">
        <f>IF(AND(G28&gt;0.9,G28&lt;1),"OK","CHECK")</f>
        <v/>
      </c>
    </row>
    <row r="29">
      <c r="A29" s="9" t="n">
        <v>9</v>
      </c>
      <c r="B29" s="9" t="n">
        <v>4</v>
      </c>
      <c r="C29" s="9" t="n">
        <v>5</v>
      </c>
      <c r="D29" s="9" t="n">
        <v>5</v>
      </c>
      <c r="E29" s="10">
        <f>COMBIN(A29,D29)/COMBIN(A29-B29,D29)</f>
        <v/>
      </c>
      <c r="F29" s="11">
        <f>ROUNDUP(E29*Controls!$B$4,4)</f>
        <v/>
      </c>
      <c r="G29" s="12">
        <f>F29/E29</f>
        <v/>
      </c>
      <c r="H29" s="10">
        <f>(A29-B29-(D29-1))/(A29-(D29-1))</f>
        <v/>
      </c>
      <c r="I29" s="9">
        <f>A29&amp;'x'&amp;B29</f>
        <v/>
      </c>
      <c r="J29" s="9">
        <f>IF(AND(G29&gt;0.9,G29&lt;1),"OK","CHECK")</f>
        <v/>
      </c>
    </row>
    <row r="30">
      <c r="A30" s="9" t="n">
        <v>9</v>
      </c>
      <c r="B30" s="9" t="n">
        <v>5</v>
      </c>
      <c r="C30" s="9" t="n">
        <v>4</v>
      </c>
      <c r="D30" s="9" t="n">
        <v>1</v>
      </c>
      <c r="E30" s="10">
        <f>COMBIN(A30,D30)/COMBIN(A30-B30,D30)</f>
        <v/>
      </c>
      <c r="F30" s="11">
        <f>ROUNDUP(E30*Controls!$B$4,4)</f>
        <v/>
      </c>
      <c r="G30" s="12">
        <f>F30/E30</f>
        <v/>
      </c>
      <c r="H30" s="10">
        <f>(A30-B30-(D30-1))/(A30-(D30-1))</f>
        <v/>
      </c>
      <c r="I30" s="9">
        <f>A30&amp;'x'&amp;B30</f>
        <v/>
      </c>
      <c r="J30" s="9">
        <f>IF(AND(G30&gt;0.9,G30&lt;1),"OK","CHECK")</f>
        <v/>
      </c>
    </row>
    <row r="31">
      <c r="A31" s="9" t="n">
        <v>9</v>
      </c>
      <c r="B31" s="9" t="n">
        <v>5</v>
      </c>
      <c r="C31" s="9" t="n">
        <v>4</v>
      </c>
      <c r="D31" s="9" t="n">
        <v>2</v>
      </c>
      <c r="E31" s="10">
        <f>COMBIN(A31,D31)/COMBIN(A31-B31,D31)</f>
        <v/>
      </c>
      <c r="F31" s="11">
        <f>ROUNDUP(E31*Controls!$B$4,4)</f>
        <v/>
      </c>
      <c r="G31" s="12">
        <f>F31/E31</f>
        <v/>
      </c>
      <c r="H31" s="10">
        <f>(A31-B31-(D31-1))/(A31-(D31-1))</f>
        <v/>
      </c>
      <c r="I31" s="9">
        <f>A31&amp;'x'&amp;B31</f>
        <v/>
      </c>
      <c r="J31" s="9">
        <f>IF(AND(G31&gt;0.9,G31&lt;1),"OK","CHECK")</f>
        <v/>
      </c>
    </row>
    <row r="32">
      <c r="A32" s="9" t="n">
        <v>9</v>
      </c>
      <c r="B32" s="9" t="n">
        <v>5</v>
      </c>
      <c r="C32" s="9" t="n">
        <v>4</v>
      </c>
      <c r="D32" s="9" t="n">
        <v>3</v>
      </c>
      <c r="E32" s="10">
        <f>COMBIN(A32,D32)/COMBIN(A32-B32,D32)</f>
        <v/>
      </c>
      <c r="F32" s="11">
        <f>ROUNDUP(E32*Controls!$B$4,4)</f>
        <v/>
      </c>
      <c r="G32" s="12">
        <f>F32/E32</f>
        <v/>
      </c>
      <c r="H32" s="10">
        <f>(A32-B32-(D32-1))/(A32-(D32-1))</f>
        <v/>
      </c>
      <c r="I32" s="9">
        <f>A32&amp;'x'&amp;B32</f>
        <v/>
      </c>
      <c r="J32" s="9">
        <f>IF(AND(G32&gt;0.9,G32&lt;1),"OK","CHECK")</f>
        <v/>
      </c>
    </row>
    <row r="33">
      <c r="A33" s="9" t="n">
        <v>9</v>
      </c>
      <c r="B33" s="9" t="n">
        <v>5</v>
      </c>
      <c r="C33" s="9" t="n">
        <v>4</v>
      </c>
      <c r="D33" s="9" t="n">
        <v>4</v>
      </c>
      <c r="E33" s="10">
        <f>COMBIN(A33,D33)/COMBIN(A33-B33,D33)</f>
        <v/>
      </c>
      <c r="F33" s="11">
        <f>ROUNDUP(E33*Controls!$B$4,4)</f>
        <v/>
      </c>
      <c r="G33" s="12">
        <f>F33/E33</f>
        <v/>
      </c>
      <c r="H33" s="10">
        <f>(A33-B33-(D33-1))/(A33-(D33-1))</f>
        <v/>
      </c>
      <c r="I33" s="9">
        <f>A33&amp;'x'&amp;B33</f>
        <v/>
      </c>
      <c r="J33" s="9">
        <f>IF(AND(G33&gt;0.9,G33&lt;1),"OK","CHECK")</f>
        <v/>
      </c>
    </row>
    <row r="34">
      <c r="A34" s="9" t="n">
        <v>9</v>
      </c>
      <c r="B34" s="9" t="n">
        <v>6</v>
      </c>
      <c r="C34" s="9" t="n">
        <v>3</v>
      </c>
      <c r="D34" s="9" t="n">
        <v>1</v>
      </c>
      <c r="E34" s="10">
        <f>COMBIN(A34,D34)/COMBIN(A34-B34,D34)</f>
        <v/>
      </c>
      <c r="F34" s="11">
        <f>ROUNDUP(E34*Controls!$B$4,4)</f>
        <v/>
      </c>
      <c r="G34" s="12">
        <f>F34/E34</f>
        <v/>
      </c>
      <c r="H34" s="10">
        <f>(A34-B34-(D34-1))/(A34-(D34-1))</f>
        <v/>
      </c>
      <c r="I34" s="9">
        <f>A34&amp;'x'&amp;B34</f>
        <v/>
      </c>
      <c r="J34" s="9">
        <f>IF(AND(G34&gt;0.9,G34&lt;1),"OK","CHECK")</f>
        <v/>
      </c>
    </row>
    <row r="35">
      <c r="A35" s="9" t="n">
        <v>9</v>
      </c>
      <c r="B35" s="9" t="n">
        <v>6</v>
      </c>
      <c r="C35" s="9" t="n">
        <v>3</v>
      </c>
      <c r="D35" s="9" t="n">
        <v>2</v>
      </c>
      <c r="E35" s="10">
        <f>COMBIN(A35,D35)/COMBIN(A35-B35,D35)</f>
        <v/>
      </c>
      <c r="F35" s="11">
        <f>ROUNDUP(E35*Controls!$B$4,4)</f>
        <v/>
      </c>
      <c r="G35" s="12">
        <f>F35/E35</f>
        <v/>
      </c>
      <c r="H35" s="10">
        <f>(A35-B35-(D35-1))/(A35-(D35-1))</f>
        <v/>
      </c>
      <c r="I35" s="9">
        <f>A35&amp;'x'&amp;B35</f>
        <v/>
      </c>
      <c r="J35" s="9">
        <f>IF(AND(G35&gt;0.9,G35&lt;1),"OK","CHECK")</f>
        <v/>
      </c>
    </row>
    <row r="36">
      <c r="A36" s="9" t="n">
        <v>9</v>
      </c>
      <c r="B36" s="9" t="n">
        <v>6</v>
      </c>
      <c r="C36" s="9" t="n">
        <v>3</v>
      </c>
      <c r="D36" s="9" t="n">
        <v>3</v>
      </c>
      <c r="E36" s="10">
        <f>COMBIN(A36,D36)/COMBIN(A36-B36,D36)</f>
        <v/>
      </c>
      <c r="F36" s="11">
        <f>ROUNDUP(E36*Controls!$B$4,4)</f>
        <v/>
      </c>
      <c r="G36" s="12">
        <f>F36/E36</f>
        <v/>
      </c>
      <c r="H36" s="10">
        <f>(A36-B36-(D36-1))/(A36-(D36-1))</f>
        <v/>
      </c>
      <c r="I36" s="9">
        <f>A36&amp;'x'&amp;B36</f>
        <v/>
      </c>
      <c r="J36" s="9">
        <f>IF(AND(G36&gt;0.9,G36&lt;1),"OK","CHECK")</f>
        <v/>
      </c>
    </row>
    <row r="37">
      <c r="A37" s="9" t="n">
        <v>9</v>
      </c>
      <c r="B37" s="9" t="n">
        <v>7</v>
      </c>
      <c r="C37" s="9" t="n">
        <v>2</v>
      </c>
      <c r="D37" s="9" t="n">
        <v>1</v>
      </c>
      <c r="E37" s="10">
        <f>COMBIN(A37,D37)/COMBIN(A37-B37,D37)</f>
        <v/>
      </c>
      <c r="F37" s="11">
        <f>ROUNDUP(E37*Controls!$B$4,4)</f>
        <v/>
      </c>
      <c r="G37" s="12">
        <f>F37/E37</f>
        <v/>
      </c>
      <c r="H37" s="10">
        <f>(A37-B37-(D37-1))/(A37-(D37-1))</f>
        <v/>
      </c>
      <c r="I37" s="9">
        <f>A37&amp;'x'&amp;B37</f>
        <v/>
      </c>
      <c r="J37" s="9">
        <f>IF(AND(G37&gt;0.9,G37&lt;1),"OK","CHECK")</f>
        <v/>
      </c>
    </row>
    <row r="38">
      <c r="A38" s="9" t="n">
        <v>9</v>
      </c>
      <c r="B38" s="9" t="n">
        <v>7</v>
      </c>
      <c r="C38" s="9" t="n">
        <v>2</v>
      </c>
      <c r="D38" s="9" t="n">
        <v>2</v>
      </c>
      <c r="E38" s="10">
        <f>COMBIN(A38,D38)/COMBIN(A38-B38,D38)</f>
        <v/>
      </c>
      <c r="F38" s="11">
        <f>ROUNDUP(E38*Controls!$B$4,4)</f>
        <v/>
      </c>
      <c r="G38" s="12">
        <f>F38/E38</f>
        <v/>
      </c>
      <c r="H38" s="10">
        <f>(A38-B38-(D38-1))/(A38-(D38-1))</f>
        <v/>
      </c>
      <c r="I38" s="9">
        <f>A38&amp;'x'&amp;B38</f>
        <v/>
      </c>
      <c r="J38" s="9">
        <f>IF(AND(G38&gt;0.9,G38&lt;1),"OK","CHECK")</f>
        <v/>
      </c>
    </row>
    <row r="39">
      <c r="A39" s="9" t="n">
        <v>9</v>
      </c>
      <c r="B39" s="9" t="n">
        <v>8</v>
      </c>
      <c r="C39" s="9" t="n">
        <v>1</v>
      </c>
      <c r="D39" s="9" t="n">
        <v>1</v>
      </c>
      <c r="E39" s="10">
        <f>COMBIN(A39,D39)/COMBIN(A39-B39,D39)</f>
        <v/>
      </c>
      <c r="F39" s="11">
        <f>ROUNDUP(E39*Controls!$B$4,4)</f>
        <v/>
      </c>
      <c r="G39" s="12">
        <f>F39/E39</f>
        <v/>
      </c>
      <c r="H39" s="10">
        <f>(A39-B39-(D39-1))/(A39-(D39-1))</f>
        <v/>
      </c>
      <c r="I39" s="9">
        <f>A39&amp;'x'&amp;B39</f>
        <v/>
      </c>
      <c r="J39" s="9">
        <f>IF(AND(G39&gt;0.9,G39&lt;1),"OK","CHECK")</f>
        <v/>
      </c>
    </row>
    <row r="40">
      <c r="A40" s="9" t="n">
        <v>16</v>
      </c>
      <c r="B40" s="9" t="n">
        <v>1</v>
      </c>
      <c r="C40" s="9" t="n">
        <v>15</v>
      </c>
      <c r="D40" s="9" t="n">
        <v>1</v>
      </c>
      <c r="E40" s="10">
        <f>COMBIN(A40,D40)/COMBIN(A40-B40,D40)</f>
        <v/>
      </c>
      <c r="F40" s="11">
        <f>ROUNDUP(E40*Controls!$B$4,4)</f>
        <v/>
      </c>
      <c r="G40" s="12">
        <f>F40/E40</f>
        <v/>
      </c>
      <c r="H40" s="10">
        <f>(A40-B40-(D40-1))/(A40-(D40-1))</f>
        <v/>
      </c>
      <c r="I40" s="9">
        <f>A40&amp;'x'&amp;B40</f>
        <v/>
      </c>
      <c r="J40" s="9">
        <f>IF(AND(G40&gt;0.9,G40&lt;1),"OK","CHECK")</f>
        <v/>
      </c>
    </row>
    <row r="41">
      <c r="A41" s="9" t="n">
        <v>16</v>
      </c>
      <c r="B41" s="9" t="n">
        <v>1</v>
      </c>
      <c r="C41" s="9" t="n">
        <v>15</v>
      </c>
      <c r="D41" s="9" t="n">
        <v>2</v>
      </c>
      <c r="E41" s="10">
        <f>COMBIN(A41,D41)/COMBIN(A41-B41,D41)</f>
        <v/>
      </c>
      <c r="F41" s="11">
        <f>ROUNDUP(E41*Controls!$B$4,4)</f>
        <v/>
      </c>
      <c r="G41" s="12">
        <f>F41/E41</f>
        <v/>
      </c>
      <c r="H41" s="10">
        <f>(A41-B41-(D41-1))/(A41-(D41-1))</f>
        <v/>
      </c>
      <c r="I41" s="9">
        <f>A41&amp;'x'&amp;B41</f>
        <v/>
      </c>
      <c r="J41" s="9">
        <f>IF(AND(G41&gt;0.9,G41&lt;1),"OK","CHECK")</f>
        <v/>
      </c>
    </row>
    <row r="42">
      <c r="A42" s="9" t="n">
        <v>16</v>
      </c>
      <c r="B42" s="9" t="n">
        <v>1</v>
      </c>
      <c r="C42" s="9" t="n">
        <v>15</v>
      </c>
      <c r="D42" s="9" t="n">
        <v>3</v>
      </c>
      <c r="E42" s="10">
        <f>COMBIN(A42,D42)/COMBIN(A42-B42,D42)</f>
        <v/>
      </c>
      <c r="F42" s="11">
        <f>ROUNDUP(E42*Controls!$B$4,4)</f>
        <v/>
      </c>
      <c r="G42" s="12">
        <f>F42/E42</f>
        <v/>
      </c>
      <c r="H42" s="10">
        <f>(A42-B42-(D42-1))/(A42-(D42-1))</f>
        <v/>
      </c>
      <c r="I42" s="9">
        <f>A42&amp;'x'&amp;B42</f>
        <v/>
      </c>
      <c r="J42" s="9">
        <f>IF(AND(G42&gt;0.9,G42&lt;1),"OK","CHECK")</f>
        <v/>
      </c>
    </row>
    <row r="43">
      <c r="A43" s="9" t="n">
        <v>16</v>
      </c>
      <c r="B43" s="9" t="n">
        <v>1</v>
      </c>
      <c r="C43" s="9" t="n">
        <v>15</v>
      </c>
      <c r="D43" s="9" t="n">
        <v>4</v>
      </c>
      <c r="E43" s="10">
        <f>COMBIN(A43,D43)/COMBIN(A43-B43,D43)</f>
        <v/>
      </c>
      <c r="F43" s="11">
        <f>ROUNDUP(E43*Controls!$B$4,4)</f>
        <v/>
      </c>
      <c r="G43" s="12">
        <f>F43/E43</f>
        <v/>
      </c>
      <c r="H43" s="10">
        <f>(A43-B43-(D43-1))/(A43-(D43-1))</f>
        <v/>
      </c>
      <c r="I43" s="9">
        <f>A43&amp;'x'&amp;B43</f>
        <v/>
      </c>
      <c r="J43" s="9">
        <f>IF(AND(G43&gt;0.9,G43&lt;1),"OK","CHECK")</f>
        <v/>
      </c>
    </row>
    <row r="44">
      <c r="A44" s="9" t="n">
        <v>16</v>
      </c>
      <c r="B44" s="9" t="n">
        <v>1</v>
      </c>
      <c r="C44" s="9" t="n">
        <v>15</v>
      </c>
      <c r="D44" s="9" t="n">
        <v>5</v>
      </c>
      <c r="E44" s="10">
        <f>COMBIN(A44,D44)/COMBIN(A44-B44,D44)</f>
        <v/>
      </c>
      <c r="F44" s="11">
        <f>ROUNDUP(E44*Controls!$B$4,4)</f>
        <v/>
      </c>
      <c r="G44" s="12">
        <f>F44/E44</f>
        <v/>
      </c>
      <c r="H44" s="10">
        <f>(A44-B44-(D44-1))/(A44-(D44-1))</f>
        <v/>
      </c>
      <c r="I44" s="9">
        <f>A44&amp;'x'&amp;B44</f>
        <v/>
      </c>
      <c r="J44" s="9">
        <f>IF(AND(G44&gt;0.9,G44&lt;1),"OK","CHECK")</f>
        <v/>
      </c>
    </row>
    <row r="45">
      <c r="A45" s="9" t="n">
        <v>16</v>
      </c>
      <c r="B45" s="9" t="n">
        <v>1</v>
      </c>
      <c r="C45" s="9" t="n">
        <v>15</v>
      </c>
      <c r="D45" s="9" t="n">
        <v>6</v>
      </c>
      <c r="E45" s="10">
        <f>COMBIN(A45,D45)/COMBIN(A45-B45,D45)</f>
        <v/>
      </c>
      <c r="F45" s="11">
        <f>ROUNDUP(E45*Controls!$B$4,4)</f>
        <v/>
      </c>
      <c r="G45" s="12">
        <f>F45/E45</f>
        <v/>
      </c>
      <c r="H45" s="10">
        <f>(A45-B45-(D45-1))/(A45-(D45-1))</f>
        <v/>
      </c>
      <c r="I45" s="9">
        <f>A45&amp;'x'&amp;B45</f>
        <v/>
      </c>
      <c r="J45" s="9">
        <f>IF(AND(G45&gt;0.9,G45&lt;1),"OK","CHECK")</f>
        <v/>
      </c>
    </row>
    <row r="46">
      <c r="A46" s="9" t="n">
        <v>16</v>
      </c>
      <c r="B46" s="9" t="n">
        <v>1</v>
      </c>
      <c r="C46" s="9" t="n">
        <v>15</v>
      </c>
      <c r="D46" s="9" t="n">
        <v>7</v>
      </c>
      <c r="E46" s="10">
        <f>COMBIN(A46,D46)/COMBIN(A46-B46,D46)</f>
        <v/>
      </c>
      <c r="F46" s="11">
        <f>ROUNDUP(E46*Controls!$B$4,4)</f>
        <v/>
      </c>
      <c r="G46" s="12">
        <f>F46/E46</f>
        <v/>
      </c>
      <c r="H46" s="10">
        <f>(A46-B46-(D46-1))/(A46-(D46-1))</f>
        <v/>
      </c>
      <c r="I46" s="9">
        <f>A46&amp;'x'&amp;B46</f>
        <v/>
      </c>
      <c r="J46" s="9">
        <f>IF(AND(G46&gt;0.9,G46&lt;1),"OK","CHECK")</f>
        <v/>
      </c>
    </row>
    <row r="47">
      <c r="A47" s="9" t="n">
        <v>16</v>
      </c>
      <c r="B47" s="9" t="n">
        <v>1</v>
      </c>
      <c r="C47" s="9" t="n">
        <v>15</v>
      </c>
      <c r="D47" s="9" t="n">
        <v>8</v>
      </c>
      <c r="E47" s="10">
        <f>COMBIN(A47,D47)/COMBIN(A47-B47,D47)</f>
        <v/>
      </c>
      <c r="F47" s="11">
        <f>ROUNDUP(E47*Controls!$B$4,4)</f>
        <v/>
      </c>
      <c r="G47" s="12">
        <f>F47/E47</f>
        <v/>
      </c>
      <c r="H47" s="10">
        <f>(A47-B47-(D47-1))/(A47-(D47-1))</f>
        <v/>
      </c>
      <c r="I47" s="9">
        <f>A47&amp;'x'&amp;B47</f>
        <v/>
      </c>
      <c r="J47" s="9">
        <f>IF(AND(G47&gt;0.9,G47&lt;1),"OK","CHECK")</f>
        <v/>
      </c>
    </row>
    <row r="48">
      <c r="A48" s="9" t="n">
        <v>16</v>
      </c>
      <c r="B48" s="9" t="n">
        <v>1</v>
      </c>
      <c r="C48" s="9" t="n">
        <v>15</v>
      </c>
      <c r="D48" s="9" t="n">
        <v>9</v>
      </c>
      <c r="E48" s="10">
        <f>COMBIN(A48,D48)/COMBIN(A48-B48,D48)</f>
        <v/>
      </c>
      <c r="F48" s="11">
        <f>ROUNDUP(E48*Controls!$B$4,4)</f>
        <v/>
      </c>
      <c r="G48" s="12">
        <f>F48/E48</f>
        <v/>
      </c>
      <c r="H48" s="10">
        <f>(A48-B48-(D48-1))/(A48-(D48-1))</f>
        <v/>
      </c>
      <c r="I48" s="9">
        <f>A48&amp;'x'&amp;B48</f>
        <v/>
      </c>
      <c r="J48" s="9">
        <f>IF(AND(G48&gt;0.9,G48&lt;1),"OK","CHECK")</f>
        <v/>
      </c>
    </row>
    <row r="49">
      <c r="A49" s="9" t="n">
        <v>16</v>
      </c>
      <c r="B49" s="9" t="n">
        <v>1</v>
      </c>
      <c r="C49" s="9" t="n">
        <v>15</v>
      </c>
      <c r="D49" s="9" t="n">
        <v>10</v>
      </c>
      <c r="E49" s="10">
        <f>COMBIN(A49,D49)/COMBIN(A49-B49,D49)</f>
        <v/>
      </c>
      <c r="F49" s="11">
        <f>ROUNDUP(E49*Controls!$B$4,4)</f>
        <v/>
      </c>
      <c r="G49" s="12">
        <f>F49/E49</f>
        <v/>
      </c>
      <c r="H49" s="10">
        <f>(A49-B49-(D49-1))/(A49-(D49-1))</f>
        <v/>
      </c>
      <c r="I49" s="9">
        <f>A49&amp;'x'&amp;B49</f>
        <v/>
      </c>
      <c r="J49" s="9">
        <f>IF(AND(G49&gt;0.9,G49&lt;1),"OK","CHECK")</f>
        <v/>
      </c>
    </row>
    <row r="50">
      <c r="A50" s="9" t="n">
        <v>16</v>
      </c>
      <c r="B50" s="9" t="n">
        <v>1</v>
      </c>
      <c r="C50" s="9" t="n">
        <v>15</v>
      </c>
      <c r="D50" s="9" t="n">
        <v>11</v>
      </c>
      <c r="E50" s="10">
        <f>COMBIN(A50,D50)/COMBIN(A50-B50,D50)</f>
        <v/>
      </c>
      <c r="F50" s="11">
        <f>ROUNDUP(E50*Controls!$B$4,4)</f>
        <v/>
      </c>
      <c r="G50" s="12">
        <f>F50/E50</f>
        <v/>
      </c>
      <c r="H50" s="10">
        <f>(A50-B50-(D50-1))/(A50-(D50-1))</f>
        <v/>
      </c>
      <c r="I50" s="9">
        <f>A50&amp;'x'&amp;B50</f>
        <v/>
      </c>
      <c r="J50" s="9">
        <f>IF(AND(G50&gt;0.9,G50&lt;1),"OK","CHECK")</f>
        <v/>
      </c>
    </row>
    <row r="51">
      <c r="A51" s="9" t="n">
        <v>16</v>
      </c>
      <c r="B51" s="9" t="n">
        <v>1</v>
      </c>
      <c r="C51" s="9" t="n">
        <v>15</v>
      </c>
      <c r="D51" s="9" t="n">
        <v>12</v>
      </c>
      <c r="E51" s="10">
        <f>COMBIN(A51,D51)/COMBIN(A51-B51,D51)</f>
        <v/>
      </c>
      <c r="F51" s="11">
        <f>ROUNDUP(E51*Controls!$B$4,4)</f>
        <v/>
      </c>
      <c r="G51" s="12">
        <f>F51/E51</f>
        <v/>
      </c>
      <c r="H51" s="10">
        <f>(A51-B51-(D51-1))/(A51-(D51-1))</f>
        <v/>
      </c>
      <c r="I51" s="9">
        <f>A51&amp;'x'&amp;B51</f>
        <v/>
      </c>
      <c r="J51" s="9">
        <f>IF(AND(G51&gt;0.9,G51&lt;1),"OK","CHECK")</f>
        <v/>
      </c>
    </row>
    <row r="52">
      <c r="A52" s="9" t="n">
        <v>16</v>
      </c>
      <c r="B52" s="9" t="n">
        <v>1</v>
      </c>
      <c r="C52" s="9" t="n">
        <v>15</v>
      </c>
      <c r="D52" s="9" t="n">
        <v>13</v>
      </c>
      <c r="E52" s="10">
        <f>COMBIN(A52,D52)/COMBIN(A52-B52,D52)</f>
        <v/>
      </c>
      <c r="F52" s="11">
        <f>ROUNDUP(E52*Controls!$B$4,4)</f>
        <v/>
      </c>
      <c r="G52" s="12">
        <f>F52/E52</f>
        <v/>
      </c>
      <c r="H52" s="10">
        <f>(A52-B52-(D52-1))/(A52-(D52-1))</f>
        <v/>
      </c>
      <c r="I52" s="9">
        <f>A52&amp;'x'&amp;B52</f>
        <v/>
      </c>
      <c r="J52" s="9">
        <f>IF(AND(G52&gt;0.9,G52&lt;1),"OK","CHECK")</f>
        <v/>
      </c>
    </row>
    <row r="53">
      <c r="A53" s="9" t="n">
        <v>16</v>
      </c>
      <c r="B53" s="9" t="n">
        <v>1</v>
      </c>
      <c r="C53" s="9" t="n">
        <v>15</v>
      </c>
      <c r="D53" s="9" t="n">
        <v>14</v>
      </c>
      <c r="E53" s="10">
        <f>COMBIN(A53,D53)/COMBIN(A53-B53,D53)</f>
        <v/>
      </c>
      <c r="F53" s="11">
        <f>ROUNDUP(E53*Controls!$B$4,4)</f>
        <v/>
      </c>
      <c r="G53" s="12">
        <f>F53/E53</f>
        <v/>
      </c>
      <c r="H53" s="10">
        <f>(A53-B53-(D53-1))/(A53-(D53-1))</f>
        <v/>
      </c>
      <c r="I53" s="9">
        <f>A53&amp;'x'&amp;B53</f>
        <v/>
      </c>
      <c r="J53" s="9">
        <f>IF(AND(G53&gt;0.9,G53&lt;1),"OK","CHECK")</f>
        <v/>
      </c>
    </row>
    <row r="54">
      <c r="A54" s="9" t="n">
        <v>16</v>
      </c>
      <c r="B54" s="9" t="n">
        <v>1</v>
      </c>
      <c r="C54" s="9" t="n">
        <v>15</v>
      </c>
      <c r="D54" s="9" t="n">
        <v>15</v>
      </c>
      <c r="E54" s="10">
        <f>COMBIN(A54,D54)/COMBIN(A54-B54,D54)</f>
        <v/>
      </c>
      <c r="F54" s="11">
        <f>ROUNDUP(E54*Controls!$B$4,4)</f>
        <v/>
      </c>
      <c r="G54" s="12">
        <f>F54/E54</f>
        <v/>
      </c>
      <c r="H54" s="10">
        <f>(A54-B54-(D54-1))/(A54-(D54-1))</f>
        <v/>
      </c>
      <c r="I54" s="9">
        <f>A54&amp;'x'&amp;B54</f>
        <v/>
      </c>
      <c r="J54" s="9">
        <f>IF(AND(G54&gt;0.9,G54&lt;1),"OK","CHECK")</f>
        <v/>
      </c>
    </row>
    <row r="55">
      <c r="A55" s="9" t="n">
        <v>16</v>
      </c>
      <c r="B55" s="9" t="n">
        <v>2</v>
      </c>
      <c r="C55" s="9" t="n">
        <v>14</v>
      </c>
      <c r="D55" s="9" t="n">
        <v>1</v>
      </c>
      <c r="E55" s="10">
        <f>COMBIN(A55,D55)/COMBIN(A55-B55,D55)</f>
        <v/>
      </c>
      <c r="F55" s="11">
        <f>ROUNDUP(E55*Controls!$B$4,4)</f>
        <v/>
      </c>
      <c r="G55" s="12">
        <f>F55/E55</f>
        <v/>
      </c>
      <c r="H55" s="10">
        <f>(A55-B55-(D55-1))/(A55-(D55-1))</f>
        <v/>
      </c>
      <c r="I55" s="9">
        <f>A55&amp;'x'&amp;B55</f>
        <v/>
      </c>
      <c r="J55" s="9">
        <f>IF(AND(G55&gt;0.9,G55&lt;1),"OK","CHECK")</f>
        <v/>
      </c>
    </row>
    <row r="56">
      <c r="A56" s="9" t="n">
        <v>16</v>
      </c>
      <c r="B56" s="9" t="n">
        <v>2</v>
      </c>
      <c r="C56" s="9" t="n">
        <v>14</v>
      </c>
      <c r="D56" s="9" t="n">
        <v>2</v>
      </c>
      <c r="E56" s="10">
        <f>COMBIN(A56,D56)/COMBIN(A56-B56,D56)</f>
        <v/>
      </c>
      <c r="F56" s="11">
        <f>ROUNDUP(E56*Controls!$B$4,4)</f>
        <v/>
      </c>
      <c r="G56" s="12">
        <f>F56/E56</f>
        <v/>
      </c>
      <c r="H56" s="10">
        <f>(A56-B56-(D56-1))/(A56-(D56-1))</f>
        <v/>
      </c>
      <c r="I56" s="9">
        <f>A56&amp;'x'&amp;B56</f>
        <v/>
      </c>
      <c r="J56" s="9">
        <f>IF(AND(G56&gt;0.9,G56&lt;1),"OK","CHECK")</f>
        <v/>
      </c>
    </row>
    <row r="57">
      <c r="A57" s="9" t="n">
        <v>16</v>
      </c>
      <c r="B57" s="9" t="n">
        <v>2</v>
      </c>
      <c r="C57" s="9" t="n">
        <v>14</v>
      </c>
      <c r="D57" s="9" t="n">
        <v>3</v>
      </c>
      <c r="E57" s="10">
        <f>COMBIN(A57,D57)/COMBIN(A57-B57,D57)</f>
        <v/>
      </c>
      <c r="F57" s="11">
        <f>ROUNDUP(E57*Controls!$B$4,4)</f>
        <v/>
      </c>
      <c r="G57" s="12">
        <f>F57/E57</f>
        <v/>
      </c>
      <c r="H57" s="10">
        <f>(A57-B57-(D57-1))/(A57-(D57-1))</f>
        <v/>
      </c>
      <c r="I57" s="9">
        <f>A57&amp;'x'&amp;B57</f>
        <v/>
      </c>
      <c r="J57" s="9">
        <f>IF(AND(G57&gt;0.9,G57&lt;1),"OK","CHECK")</f>
        <v/>
      </c>
    </row>
    <row r="58">
      <c r="A58" s="9" t="n">
        <v>16</v>
      </c>
      <c r="B58" s="9" t="n">
        <v>2</v>
      </c>
      <c r="C58" s="9" t="n">
        <v>14</v>
      </c>
      <c r="D58" s="9" t="n">
        <v>4</v>
      </c>
      <c r="E58" s="10">
        <f>COMBIN(A58,D58)/COMBIN(A58-B58,D58)</f>
        <v/>
      </c>
      <c r="F58" s="11">
        <f>ROUNDUP(E58*Controls!$B$4,4)</f>
        <v/>
      </c>
      <c r="G58" s="12">
        <f>F58/E58</f>
        <v/>
      </c>
      <c r="H58" s="10">
        <f>(A58-B58-(D58-1))/(A58-(D58-1))</f>
        <v/>
      </c>
      <c r="I58" s="9">
        <f>A58&amp;'x'&amp;B58</f>
        <v/>
      </c>
      <c r="J58" s="9">
        <f>IF(AND(G58&gt;0.9,G58&lt;1),"OK","CHECK")</f>
        <v/>
      </c>
    </row>
    <row r="59">
      <c r="A59" s="9" t="n">
        <v>16</v>
      </c>
      <c r="B59" s="9" t="n">
        <v>2</v>
      </c>
      <c r="C59" s="9" t="n">
        <v>14</v>
      </c>
      <c r="D59" s="9" t="n">
        <v>5</v>
      </c>
      <c r="E59" s="10">
        <f>COMBIN(A59,D59)/COMBIN(A59-B59,D59)</f>
        <v/>
      </c>
      <c r="F59" s="11">
        <f>ROUNDUP(E59*Controls!$B$4,4)</f>
        <v/>
      </c>
      <c r="G59" s="12">
        <f>F59/E59</f>
        <v/>
      </c>
      <c r="H59" s="10">
        <f>(A59-B59-(D59-1))/(A59-(D59-1))</f>
        <v/>
      </c>
      <c r="I59" s="9">
        <f>A59&amp;'x'&amp;B59</f>
        <v/>
      </c>
      <c r="J59" s="9">
        <f>IF(AND(G59&gt;0.9,G59&lt;1),"OK","CHECK")</f>
        <v/>
      </c>
    </row>
    <row r="60">
      <c r="A60" s="9" t="n">
        <v>16</v>
      </c>
      <c r="B60" s="9" t="n">
        <v>2</v>
      </c>
      <c r="C60" s="9" t="n">
        <v>14</v>
      </c>
      <c r="D60" s="9" t="n">
        <v>6</v>
      </c>
      <c r="E60" s="10">
        <f>COMBIN(A60,D60)/COMBIN(A60-B60,D60)</f>
        <v/>
      </c>
      <c r="F60" s="11">
        <f>ROUNDUP(E60*Controls!$B$4,4)</f>
        <v/>
      </c>
      <c r="G60" s="12">
        <f>F60/E60</f>
        <v/>
      </c>
      <c r="H60" s="10">
        <f>(A60-B60-(D60-1))/(A60-(D60-1))</f>
        <v/>
      </c>
      <c r="I60" s="9">
        <f>A60&amp;'x'&amp;B60</f>
        <v/>
      </c>
      <c r="J60" s="9">
        <f>IF(AND(G60&gt;0.9,G60&lt;1),"OK","CHECK")</f>
        <v/>
      </c>
    </row>
    <row r="61">
      <c r="A61" s="9" t="n">
        <v>16</v>
      </c>
      <c r="B61" s="9" t="n">
        <v>2</v>
      </c>
      <c r="C61" s="9" t="n">
        <v>14</v>
      </c>
      <c r="D61" s="9" t="n">
        <v>7</v>
      </c>
      <c r="E61" s="10">
        <f>COMBIN(A61,D61)/COMBIN(A61-B61,D61)</f>
        <v/>
      </c>
      <c r="F61" s="11">
        <f>ROUNDUP(E61*Controls!$B$4,4)</f>
        <v/>
      </c>
      <c r="G61" s="12">
        <f>F61/E61</f>
        <v/>
      </c>
      <c r="H61" s="10">
        <f>(A61-B61-(D61-1))/(A61-(D61-1))</f>
        <v/>
      </c>
      <c r="I61" s="9">
        <f>A61&amp;'x'&amp;B61</f>
        <v/>
      </c>
      <c r="J61" s="9">
        <f>IF(AND(G61&gt;0.9,G61&lt;1),"OK","CHECK")</f>
        <v/>
      </c>
    </row>
    <row r="62">
      <c r="A62" s="9" t="n">
        <v>16</v>
      </c>
      <c r="B62" s="9" t="n">
        <v>2</v>
      </c>
      <c r="C62" s="9" t="n">
        <v>14</v>
      </c>
      <c r="D62" s="9" t="n">
        <v>8</v>
      </c>
      <c r="E62" s="10">
        <f>COMBIN(A62,D62)/COMBIN(A62-B62,D62)</f>
        <v/>
      </c>
      <c r="F62" s="11">
        <f>ROUNDUP(E62*Controls!$B$4,4)</f>
        <v/>
      </c>
      <c r="G62" s="12">
        <f>F62/E62</f>
        <v/>
      </c>
      <c r="H62" s="10">
        <f>(A62-B62-(D62-1))/(A62-(D62-1))</f>
        <v/>
      </c>
      <c r="I62" s="9">
        <f>A62&amp;'x'&amp;B62</f>
        <v/>
      </c>
      <c r="J62" s="9">
        <f>IF(AND(G62&gt;0.9,G62&lt;1),"OK","CHECK")</f>
        <v/>
      </c>
    </row>
    <row r="63">
      <c r="A63" s="9" t="n">
        <v>16</v>
      </c>
      <c r="B63" s="9" t="n">
        <v>2</v>
      </c>
      <c r="C63" s="9" t="n">
        <v>14</v>
      </c>
      <c r="D63" s="9" t="n">
        <v>9</v>
      </c>
      <c r="E63" s="10">
        <f>COMBIN(A63,D63)/COMBIN(A63-B63,D63)</f>
        <v/>
      </c>
      <c r="F63" s="11">
        <f>ROUNDUP(E63*Controls!$B$4,4)</f>
        <v/>
      </c>
      <c r="G63" s="12">
        <f>F63/E63</f>
        <v/>
      </c>
      <c r="H63" s="10">
        <f>(A63-B63-(D63-1))/(A63-(D63-1))</f>
        <v/>
      </c>
      <c r="I63" s="9">
        <f>A63&amp;'x'&amp;B63</f>
        <v/>
      </c>
      <c r="J63" s="9">
        <f>IF(AND(G63&gt;0.9,G63&lt;1),"OK","CHECK")</f>
        <v/>
      </c>
    </row>
    <row r="64">
      <c r="A64" s="9" t="n">
        <v>16</v>
      </c>
      <c r="B64" s="9" t="n">
        <v>2</v>
      </c>
      <c r="C64" s="9" t="n">
        <v>14</v>
      </c>
      <c r="D64" s="9" t="n">
        <v>10</v>
      </c>
      <c r="E64" s="10">
        <f>COMBIN(A64,D64)/COMBIN(A64-B64,D64)</f>
        <v/>
      </c>
      <c r="F64" s="11">
        <f>ROUNDUP(E64*Controls!$B$4,4)</f>
        <v/>
      </c>
      <c r="G64" s="12">
        <f>F64/E64</f>
        <v/>
      </c>
      <c r="H64" s="10">
        <f>(A64-B64-(D64-1))/(A64-(D64-1))</f>
        <v/>
      </c>
      <c r="I64" s="9">
        <f>A64&amp;'x'&amp;B64</f>
        <v/>
      </c>
      <c r="J64" s="9">
        <f>IF(AND(G64&gt;0.9,G64&lt;1),"OK","CHECK")</f>
        <v/>
      </c>
    </row>
    <row r="65">
      <c r="A65" s="9" t="n">
        <v>16</v>
      </c>
      <c r="B65" s="9" t="n">
        <v>2</v>
      </c>
      <c r="C65" s="9" t="n">
        <v>14</v>
      </c>
      <c r="D65" s="9" t="n">
        <v>11</v>
      </c>
      <c r="E65" s="10">
        <f>COMBIN(A65,D65)/COMBIN(A65-B65,D65)</f>
        <v/>
      </c>
      <c r="F65" s="11">
        <f>ROUNDUP(E65*Controls!$B$4,4)</f>
        <v/>
      </c>
      <c r="G65" s="12">
        <f>F65/E65</f>
        <v/>
      </c>
      <c r="H65" s="10">
        <f>(A65-B65-(D65-1))/(A65-(D65-1))</f>
        <v/>
      </c>
      <c r="I65" s="9">
        <f>A65&amp;'x'&amp;B65</f>
        <v/>
      </c>
      <c r="J65" s="9">
        <f>IF(AND(G65&gt;0.9,G65&lt;1),"OK","CHECK")</f>
        <v/>
      </c>
    </row>
    <row r="66">
      <c r="A66" s="9" t="n">
        <v>16</v>
      </c>
      <c r="B66" s="9" t="n">
        <v>2</v>
      </c>
      <c r="C66" s="9" t="n">
        <v>14</v>
      </c>
      <c r="D66" s="9" t="n">
        <v>12</v>
      </c>
      <c r="E66" s="10">
        <f>COMBIN(A66,D66)/COMBIN(A66-B66,D66)</f>
        <v/>
      </c>
      <c r="F66" s="11">
        <f>ROUNDUP(E66*Controls!$B$4,4)</f>
        <v/>
      </c>
      <c r="G66" s="12">
        <f>F66/E66</f>
        <v/>
      </c>
      <c r="H66" s="10">
        <f>(A66-B66-(D66-1))/(A66-(D66-1))</f>
        <v/>
      </c>
      <c r="I66" s="9">
        <f>A66&amp;'x'&amp;B66</f>
        <v/>
      </c>
      <c r="J66" s="9">
        <f>IF(AND(G66&gt;0.9,G66&lt;1),"OK","CHECK")</f>
        <v/>
      </c>
    </row>
    <row r="67">
      <c r="A67" s="9" t="n">
        <v>16</v>
      </c>
      <c r="B67" s="9" t="n">
        <v>2</v>
      </c>
      <c r="C67" s="9" t="n">
        <v>14</v>
      </c>
      <c r="D67" s="9" t="n">
        <v>13</v>
      </c>
      <c r="E67" s="10">
        <f>COMBIN(A67,D67)/COMBIN(A67-B67,D67)</f>
        <v/>
      </c>
      <c r="F67" s="11">
        <f>ROUNDUP(E67*Controls!$B$4,4)</f>
        <v/>
      </c>
      <c r="G67" s="12">
        <f>F67/E67</f>
        <v/>
      </c>
      <c r="H67" s="10">
        <f>(A67-B67-(D67-1))/(A67-(D67-1))</f>
        <v/>
      </c>
      <c r="I67" s="9">
        <f>A67&amp;'x'&amp;B67</f>
        <v/>
      </c>
      <c r="J67" s="9">
        <f>IF(AND(G67&gt;0.9,G67&lt;1),"OK","CHECK")</f>
        <v/>
      </c>
    </row>
    <row r="68">
      <c r="A68" s="9" t="n">
        <v>16</v>
      </c>
      <c r="B68" s="9" t="n">
        <v>2</v>
      </c>
      <c r="C68" s="9" t="n">
        <v>14</v>
      </c>
      <c r="D68" s="9" t="n">
        <v>14</v>
      </c>
      <c r="E68" s="10">
        <f>COMBIN(A68,D68)/COMBIN(A68-B68,D68)</f>
        <v/>
      </c>
      <c r="F68" s="11">
        <f>ROUNDUP(E68*Controls!$B$4,4)</f>
        <v/>
      </c>
      <c r="G68" s="12">
        <f>F68/E68</f>
        <v/>
      </c>
      <c r="H68" s="10">
        <f>(A68-B68-(D68-1))/(A68-(D68-1))</f>
        <v/>
      </c>
      <c r="I68" s="9">
        <f>A68&amp;'x'&amp;B68</f>
        <v/>
      </c>
      <c r="J68" s="9">
        <f>IF(AND(G68&gt;0.9,G68&lt;1),"OK","CHECK")</f>
        <v/>
      </c>
    </row>
    <row r="69">
      <c r="A69" s="9" t="n">
        <v>16</v>
      </c>
      <c r="B69" s="9" t="n">
        <v>3</v>
      </c>
      <c r="C69" s="9" t="n">
        <v>13</v>
      </c>
      <c r="D69" s="9" t="n">
        <v>1</v>
      </c>
      <c r="E69" s="10">
        <f>COMBIN(A69,D69)/COMBIN(A69-B69,D69)</f>
        <v/>
      </c>
      <c r="F69" s="11">
        <f>ROUNDUP(E69*Controls!$B$4,4)</f>
        <v/>
      </c>
      <c r="G69" s="12">
        <f>F69/E69</f>
        <v/>
      </c>
      <c r="H69" s="10">
        <f>(A69-B69-(D69-1))/(A69-(D69-1))</f>
        <v/>
      </c>
      <c r="I69" s="9">
        <f>A69&amp;'x'&amp;B69</f>
        <v/>
      </c>
      <c r="J69" s="9">
        <f>IF(AND(G69&gt;0.9,G69&lt;1),"OK","CHECK")</f>
        <v/>
      </c>
    </row>
    <row r="70">
      <c r="A70" s="9" t="n">
        <v>16</v>
      </c>
      <c r="B70" s="9" t="n">
        <v>3</v>
      </c>
      <c r="C70" s="9" t="n">
        <v>13</v>
      </c>
      <c r="D70" s="9" t="n">
        <v>2</v>
      </c>
      <c r="E70" s="10">
        <f>COMBIN(A70,D70)/COMBIN(A70-B70,D70)</f>
        <v/>
      </c>
      <c r="F70" s="11">
        <f>ROUNDUP(E70*Controls!$B$4,4)</f>
        <v/>
      </c>
      <c r="G70" s="12">
        <f>F70/E70</f>
        <v/>
      </c>
      <c r="H70" s="10">
        <f>(A70-B70-(D70-1))/(A70-(D70-1))</f>
        <v/>
      </c>
      <c r="I70" s="9">
        <f>A70&amp;'x'&amp;B70</f>
        <v/>
      </c>
      <c r="J70" s="9">
        <f>IF(AND(G70&gt;0.9,G70&lt;1),"OK","CHECK")</f>
        <v/>
      </c>
    </row>
    <row r="71">
      <c r="A71" s="9" t="n">
        <v>16</v>
      </c>
      <c r="B71" s="9" t="n">
        <v>3</v>
      </c>
      <c r="C71" s="9" t="n">
        <v>13</v>
      </c>
      <c r="D71" s="9" t="n">
        <v>3</v>
      </c>
      <c r="E71" s="10">
        <f>COMBIN(A71,D71)/COMBIN(A71-B71,D71)</f>
        <v/>
      </c>
      <c r="F71" s="11">
        <f>ROUNDUP(E71*Controls!$B$4,4)</f>
        <v/>
      </c>
      <c r="G71" s="12">
        <f>F71/E71</f>
        <v/>
      </c>
      <c r="H71" s="10">
        <f>(A71-B71-(D71-1))/(A71-(D71-1))</f>
        <v/>
      </c>
      <c r="I71" s="9">
        <f>A71&amp;'x'&amp;B71</f>
        <v/>
      </c>
      <c r="J71" s="9">
        <f>IF(AND(G71&gt;0.9,G71&lt;1),"OK","CHECK")</f>
        <v/>
      </c>
    </row>
    <row r="72">
      <c r="A72" s="9" t="n">
        <v>16</v>
      </c>
      <c r="B72" s="9" t="n">
        <v>3</v>
      </c>
      <c r="C72" s="9" t="n">
        <v>13</v>
      </c>
      <c r="D72" s="9" t="n">
        <v>4</v>
      </c>
      <c r="E72" s="10">
        <f>COMBIN(A72,D72)/COMBIN(A72-B72,D72)</f>
        <v/>
      </c>
      <c r="F72" s="11">
        <f>ROUNDUP(E72*Controls!$B$4,4)</f>
        <v/>
      </c>
      <c r="G72" s="12">
        <f>F72/E72</f>
        <v/>
      </c>
      <c r="H72" s="10">
        <f>(A72-B72-(D72-1))/(A72-(D72-1))</f>
        <v/>
      </c>
      <c r="I72" s="9">
        <f>A72&amp;'x'&amp;B72</f>
        <v/>
      </c>
      <c r="J72" s="9">
        <f>IF(AND(G72&gt;0.9,G72&lt;1),"OK","CHECK")</f>
        <v/>
      </c>
    </row>
    <row r="73">
      <c r="A73" s="9" t="n">
        <v>16</v>
      </c>
      <c r="B73" s="9" t="n">
        <v>3</v>
      </c>
      <c r="C73" s="9" t="n">
        <v>13</v>
      </c>
      <c r="D73" s="9" t="n">
        <v>5</v>
      </c>
      <c r="E73" s="10">
        <f>COMBIN(A73,D73)/COMBIN(A73-B73,D73)</f>
        <v/>
      </c>
      <c r="F73" s="11">
        <f>ROUNDUP(E73*Controls!$B$4,4)</f>
        <v/>
      </c>
      <c r="G73" s="12">
        <f>F73/E73</f>
        <v/>
      </c>
      <c r="H73" s="10">
        <f>(A73-B73-(D73-1))/(A73-(D73-1))</f>
        <v/>
      </c>
      <c r="I73" s="9">
        <f>A73&amp;'x'&amp;B73</f>
        <v/>
      </c>
      <c r="J73" s="9">
        <f>IF(AND(G73&gt;0.9,G73&lt;1),"OK","CHECK")</f>
        <v/>
      </c>
    </row>
    <row r="74">
      <c r="A74" s="9" t="n">
        <v>16</v>
      </c>
      <c r="B74" s="9" t="n">
        <v>3</v>
      </c>
      <c r="C74" s="9" t="n">
        <v>13</v>
      </c>
      <c r="D74" s="9" t="n">
        <v>6</v>
      </c>
      <c r="E74" s="10">
        <f>COMBIN(A74,D74)/COMBIN(A74-B74,D74)</f>
        <v/>
      </c>
      <c r="F74" s="11">
        <f>ROUNDUP(E74*Controls!$B$4,4)</f>
        <v/>
      </c>
      <c r="G74" s="12">
        <f>F74/E74</f>
        <v/>
      </c>
      <c r="H74" s="10">
        <f>(A74-B74-(D74-1))/(A74-(D74-1))</f>
        <v/>
      </c>
      <c r="I74" s="9">
        <f>A74&amp;'x'&amp;B74</f>
        <v/>
      </c>
      <c r="J74" s="9">
        <f>IF(AND(G74&gt;0.9,G74&lt;1),"OK","CHECK")</f>
        <v/>
      </c>
    </row>
    <row r="75">
      <c r="A75" s="9" t="n">
        <v>16</v>
      </c>
      <c r="B75" s="9" t="n">
        <v>3</v>
      </c>
      <c r="C75" s="9" t="n">
        <v>13</v>
      </c>
      <c r="D75" s="9" t="n">
        <v>7</v>
      </c>
      <c r="E75" s="10">
        <f>COMBIN(A75,D75)/COMBIN(A75-B75,D75)</f>
        <v/>
      </c>
      <c r="F75" s="11">
        <f>ROUNDUP(E75*Controls!$B$4,4)</f>
        <v/>
      </c>
      <c r="G75" s="12">
        <f>F75/E75</f>
        <v/>
      </c>
      <c r="H75" s="10">
        <f>(A75-B75-(D75-1))/(A75-(D75-1))</f>
        <v/>
      </c>
      <c r="I75" s="9">
        <f>A75&amp;'x'&amp;B75</f>
        <v/>
      </c>
      <c r="J75" s="9">
        <f>IF(AND(G75&gt;0.9,G75&lt;1),"OK","CHECK")</f>
        <v/>
      </c>
    </row>
    <row r="76">
      <c r="A76" s="9" t="n">
        <v>16</v>
      </c>
      <c r="B76" s="9" t="n">
        <v>3</v>
      </c>
      <c r="C76" s="9" t="n">
        <v>13</v>
      </c>
      <c r="D76" s="9" t="n">
        <v>8</v>
      </c>
      <c r="E76" s="10">
        <f>COMBIN(A76,D76)/COMBIN(A76-B76,D76)</f>
        <v/>
      </c>
      <c r="F76" s="11">
        <f>ROUNDUP(E76*Controls!$B$4,4)</f>
        <v/>
      </c>
      <c r="G76" s="12">
        <f>F76/E76</f>
        <v/>
      </c>
      <c r="H76" s="10">
        <f>(A76-B76-(D76-1))/(A76-(D76-1))</f>
        <v/>
      </c>
      <c r="I76" s="9">
        <f>A76&amp;'x'&amp;B76</f>
        <v/>
      </c>
      <c r="J76" s="9">
        <f>IF(AND(G76&gt;0.9,G76&lt;1),"OK","CHECK")</f>
        <v/>
      </c>
    </row>
    <row r="77">
      <c r="A77" s="9" t="n">
        <v>16</v>
      </c>
      <c r="B77" s="9" t="n">
        <v>3</v>
      </c>
      <c r="C77" s="9" t="n">
        <v>13</v>
      </c>
      <c r="D77" s="9" t="n">
        <v>9</v>
      </c>
      <c r="E77" s="10">
        <f>COMBIN(A77,D77)/COMBIN(A77-B77,D77)</f>
        <v/>
      </c>
      <c r="F77" s="11">
        <f>ROUNDUP(E77*Controls!$B$4,4)</f>
        <v/>
      </c>
      <c r="G77" s="12">
        <f>F77/E77</f>
        <v/>
      </c>
      <c r="H77" s="10">
        <f>(A77-B77-(D77-1))/(A77-(D77-1))</f>
        <v/>
      </c>
      <c r="I77" s="9">
        <f>A77&amp;'x'&amp;B77</f>
        <v/>
      </c>
      <c r="J77" s="9">
        <f>IF(AND(G77&gt;0.9,G77&lt;1),"OK","CHECK")</f>
        <v/>
      </c>
    </row>
    <row r="78">
      <c r="A78" s="9" t="n">
        <v>16</v>
      </c>
      <c r="B78" s="9" t="n">
        <v>3</v>
      </c>
      <c r="C78" s="9" t="n">
        <v>13</v>
      </c>
      <c r="D78" s="9" t="n">
        <v>10</v>
      </c>
      <c r="E78" s="10">
        <f>COMBIN(A78,D78)/COMBIN(A78-B78,D78)</f>
        <v/>
      </c>
      <c r="F78" s="11">
        <f>ROUNDUP(E78*Controls!$B$4,4)</f>
        <v/>
      </c>
      <c r="G78" s="12">
        <f>F78/E78</f>
        <v/>
      </c>
      <c r="H78" s="10">
        <f>(A78-B78-(D78-1))/(A78-(D78-1))</f>
        <v/>
      </c>
      <c r="I78" s="9">
        <f>A78&amp;'x'&amp;B78</f>
        <v/>
      </c>
      <c r="J78" s="9">
        <f>IF(AND(G78&gt;0.9,G78&lt;1),"OK","CHECK")</f>
        <v/>
      </c>
    </row>
    <row r="79">
      <c r="A79" s="9" t="n">
        <v>16</v>
      </c>
      <c r="B79" s="9" t="n">
        <v>3</v>
      </c>
      <c r="C79" s="9" t="n">
        <v>13</v>
      </c>
      <c r="D79" s="9" t="n">
        <v>11</v>
      </c>
      <c r="E79" s="10">
        <f>COMBIN(A79,D79)/COMBIN(A79-B79,D79)</f>
        <v/>
      </c>
      <c r="F79" s="11">
        <f>ROUNDUP(E79*Controls!$B$4,4)</f>
        <v/>
      </c>
      <c r="G79" s="12">
        <f>F79/E79</f>
        <v/>
      </c>
      <c r="H79" s="10">
        <f>(A79-B79-(D79-1))/(A79-(D79-1))</f>
        <v/>
      </c>
      <c r="I79" s="9">
        <f>A79&amp;'x'&amp;B79</f>
        <v/>
      </c>
      <c r="J79" s="9">
        <f>IF(AND(G79&gt;0.9,G79&lt;1),"OK","CHECK")</f>
        <v/>
      </c>
    </row>
    <row r="80">
      <c r="A80" s="9" t="n">
        <v>16</v>
      </c>
      <c r="B80" s="9" t="n">
        <v>3</v>
      </c>
      <c r="C80" s="9" t="n">
        <v>13</v>
      </c>
      <c r="D80" s="9" t="n">
        <v>12</v>
      </c>
      <c r="E80" s="10">
        <f>COMBIN(A80,D80)/COMBIN(A80-B80,D80)</f>
        <v/>
      </c>
      <c r="F80" s="11">
        <f>ROUNDUP(E80*Controls!$B$4,4)</f>
        <v/>
      </c>
      <c r="G80" s="12">
        <f>F80/E80</f>
        <v/>
      </c>
      <c r="H80" s="10">
        <f>(A80-B80-(D80-1))/(A80-(D80-1))</f>
        <v/>
      </c>
      <c r="I80" s="9">
        <f>A80&amp;'x'&amp;B80</f>
        <v/>
      </c>
      <c r="J80" s="9">
        <f>IF(AND(G80&gt;0.9,G80&lt;1),"OK","CHECK")</f>
        <v/>
      </c>
    </row>
    <row r="81">
      <c r="A81" s="9" t="n">
        <v>16</v>
      </c>
      <c r="B81" s="9" t="n">
        <v>3</v>
      </c>
      <c r="C81" s="9" t="n">
        <v>13</v>
      </c>
      <c r="D81" s="9" t="n">
        <v>13</v>
      </c>
      <c r="E81" s="10">
        <f>COMBIN(A81,D81)/COMBIN(A81-B81,D81)</f>
        <v/>
      </c>
      <c r="F81" s="11">
        <f>ROUNDUP(E81*Controls!$B$4,4)</f>
        <v/>
      </c>
      <c r="G81" s="12">
        <f>F81/E81</f>
        <v/>
      </c>
      <c r="H81" s="10">
        <f>(A81-B81-(D81-1))/(A81-(D81-1))</f>
        <v/>
      </c>
      <c r="I81" s="9">
        <f>A81&amp;'x'&amp;B81</f>
        <v/>
      </c>
      <c r="J81" s="9">
        <f>IF(AND(G81&gt;0.9,G81&lt;1),"OK","CHECK")</f>
        <v/>
      </c>
    </row>
    <row r="82">
      <c r="A82" s="9" t="n">
        <v>16</v>
      </c>
      <c r="B82" s="9" t="n">
        <v>4</v>
      </c>
      <c r="C82" s="9" t="n">
        <v>12</v>
      </c>
      <c r="D82" s="9" t="n">
        <v>1</v>
      </c>
      <c r="E82" s="10">
        <f>COMBIN(A82,D82)/COMBIN(A82-B82,D82)</f>
        <v/>
      </c>
      <c r="F82" s="11">
        <f>ROUNDUP(E82*Controls!$B$4,4)</f>
        <v/>
      </c>
      <c r="G82" s="12">
        <f>F82/E82</f>
        <v/>
      </c>
      <c r="H82" s="10">
        <f>(A82-B82-(D82-1))/(A82-(D82-1))</f>
        <v/>
      </c>
      <c r="I82" s="9">
        <f>A82&amp;'x'&amp;B82</f>
        <v/>
      </c>
      <c r="J82" s="9">
        <f>IF(AND(G82&gt;0.9,G82&lt;1),"OK","CHECK")</f>
        <v/>
      </c>
    </row>
    <row r="83">
      <c r="A83" s="9" t="n">
        <v>16</v>
      </c>
      <c r="B83" s="9" t="n">
        <v>4</v>
      </c>
      <c r="C83" s="9" t="n">
        <v>12</v>
      </c>
      <c r="D83" s="9" t="n">
        <v>2</v>
      </c>
      <c r="E83" s="10">
        <f>COMBIN(A83,D83)/COMBIN(A83-B83,D83)</f>
        <v/>
      </c>
      <c r="F83" s="11">
        <f>ROUNDUP(E83*Controls!$B$4,4)</f>
        <v/>
      </c>
      <c r="G83" s="12">
        <f>F83/E83</f>
        <v/>
      </c>
      <c r="H83" s="10">
        <f>(A83-B83-(D83-1))/(A83-(D83-1))</f>
        <v/>
      </c>
      <c r="I83" s="9">
        <f>A83&amp;'x'&amp;B83</f>
        <v/>
      </c>
      <c r="J83" s="9">
        <f>IF(AND(G83&gt;0.9,G83&lt;1),"OK","CHECK")</f>
        <v/>
      </c>
    </row>
    <row r="84">
      <c r="A84" s="9" t="n">
        <v>16</v>
      </c>
      <c r="B84" s="9" t="n">
        <v>4</v>
      </c>
      <c r="C84" s="9" t="n">
        <v>12</v>
      </c>
      <c r="D84" s="9" t="n">
        <v>3</v>
      </c>
      <c r="E84" s="10">
        <f>COMBIN(A84,D84)/COMBIN(A84-B84,D84)</f>
        <v/>
      </c>
      <c r="F84" s="11">
        <f>ROUNDUP(E84*Controls!$B$4,4)</f>
        <v/>
      </c>
      <c r="G84" s="12">
        <f>F84/E84</f>
        <v/>
      </c>
      <c r="H84" s="10">
        <f>(A84-B84-(D84-1))/(A84-(D84-1))</f>
        <v/>
      </c>
      <c r="I84" s="9">
        <f>A84&amp;'x'&amp;B84</f>
        <v/>
      </c>
      <c r="J84" s="9">
        <f>IF(AND(G84&gt;0.9,G84&lt;1),"OK","CHECK")</f>
        <v/>
      </c>
    </row>
    <row r="85">
      <c r="A85" s="9" t="n">
        <v>16</v>
      </c>
      <c r="B85" s="9" t="n">
        <v>4</v>
      </c>
      <c r="C85" s="9" t="n">
        <v>12</v>
      </c>
      <c r="D85" s="9" t="n">
        <v>4</v>
      </c>
      <c r="E85" s="10">
        <f>COMBIN(A85,D85)/COMBIN(A85-B85,D85)</f>
        <v/>
      </c>
      <c r="F85" s="11">
        <f>ROUNDUP(E85*Controls!$B$4,4)</f>
        <v/>
      </c>
      <c r="G85" s="12">
        <f>F85/E85</f>
        <v/>
      </c>
      <c r="H85" s="10">
        <f>(A85-B85-(D85-1))/(A85-(D85-1))</f>
        <v/>
      </c>
      <c r="I85" s="9">
        <f>A85&amp;'x'&amp;B85</f>
        <v/>
      </c>
      <c r="J85" s="9">
        <f>IF(AND(G85&gt;0.9,G85&lt;1),"OK","CHECK")</f>
        <v/>
      </c>
    </row>
    <row r="86">
      <c r="A86" s="9" t="n">
        <v>16</v>
      </c>
      <c r="B86" s="9" t="n">
        <v>4</v>
      </c>
      <c r="C86" s="9" t="n">
        <v>12</v>
      </c>
      <c r="D86" s="9" t="n">
        <v>5</v>
      </c>
      <c r="E86" s="10">
        <f>COMBIN(A86,D86)/COMBIN(A86-B86,D86)</f>
        <v/>
      </c>
      <c r="F86" s="11">
        <f>ROUNDUP(E86*Controls!$B$4,4)</f>
        <v/>
      </c>
      <c r="G86" s="12">
        <f>F86/E86</f>
        <v/>
      </c>
      <c r="H86" s="10">
        <f>(A86-B86-(D86-1))/(A86-(D86-1))</f>
        <v/>
      </c>
      <c r="I86" s="9">
        <f>A86&amp;'x'&amp;B86</f>
        <v/>
      </c>
      <c r="J86" s="9">
        <f>IF(AND(G86&gt;0.9,G86&lt;1),"OK","CHECK")</f>
        <v/>
      </c>
    </row>
    <row r="87">
      <c r="A87" s="9" t="n">
        <v>16</v>
      </c>
      <c r="B87" s="9" t="n">
        <v>4</v>
      </c>
      <c r="C87" s="9" t="n">
        <v>12</v>
      </c>
      <c r="D87" s="9" t="n">
        <v>6</v>
      </c>
      <c r="E87" s="10">
        <f>COMBIN(A87,D87)/COMBIN(A87-B87,D87)</f>
        <v/>
      </c>
      <c r="F87" s="11">
        <f>ROUNDUP(E87*Controls!$B$4,4)</f>
        <v/>
      </c>
      <c r="G87" s="12">
        <f>F87/E87</f>
        <v/>
      </c>
      <c r="H87" s="10">
        <f>(A87-B87-(D87-1))/(A87-(D87-1))</f>
        <v/>
      </c>
      <c r="I87" s="9">
        <f>A87&amp;'x'&amp;B87</f>
        <v/>
      </c>
      <c r="J87" s="9">
        <f>IF(AND(G87&gt;0.9,G87&lt;1),"OK","CHECK")</f>
        <v/>
      </c>
    </row>
    <row r="88">
      <c r="A88" s="9" t="n">
        <v>16</v>
      </c>
      <c r="B88" s="9" t="n">
        <v>4</v>
      </c>
      <c r="C88" s="9" t="n">
        <v>12</v>
      </c>
      <c r="D88" s="9" t="n">
        <v>7</v>
      </c>
      <c r="E88" s="10">
        <f>COMBIN(A88,D88)/COMBIN(A88-B88,D88)</f>
        <v/>
      </c>
      <c r="F88" s="11">
        <f>ROUNDUP(E88*Controls!$B$4,4)</f>
        <v/>
      </c>
      <c r="G88" s="12">
        <f>F88/E88</f>
        <v/>
      </c>
      <c r="H88" s="10">
        <f>(A88-B88-(D88-1))/(A88-(D88-1))</f>
        <v/>
      </c>
      <c r="I88" s="9">
        <f>A88&amp;'x'&amp;B88</f>
        <v/>
      </c>
      <c r="J88" s="9">
        <f>IF(AND(G88&gt;0.9,G88&lt;1),"OK","CHECK")</f>
        <v/>
      </c>
    </row>
    <row r="89">
      <c r="A89" s="9" t="n">
        <v>16</v>
      </c>
      <c r="B89" s="9" t="n">
        <v>4</v>
      </c>
      <c r="C89" s="9" t="n">
        <v>12</v>
      </c>
      <c r="D89" s="9" t="n">
        <v>8</v>
      </c>
      <c r="E89" s="10">
        <f>COMBIN(A89,D89)/COMBIN(A89-B89,D89)</f>
        <v/>
      </c>
      <c r="F89" s="11">
        <f>ROUNDUP(E89*Controls!$B$4,4)</f>
        <v/>
      </c>
      <c r="G89" s="12">
        <f>F89/E89</f>
        <v/>
      </c>
      <c r="H89" s="10">
        <f>(A89-B89-(D89-1))/(A89-(D89-1))</f>
        <v/>
      </c>
      <c r="I89" s="9">
        <f>A89&amp;'x'&amp;B89</f>
        <v/>
      </c>
      <c r="J89" s="9">
        <f>IF(AND(G89&gt;0.9,G89&lt;1),"OK","CHECK")</f>
        <v/>
      </c>
    </row>
    <row r="90">
      <c r="A90" s="9" t="n">
        <v>16</v>
      </c>
      <c r="B90" s="9" t="n">
        <v>4</v>
      </c>
      <c r="C90" s="9" t="n">
        <v>12</v>
      </c>
      <c r="D90" s="9" t="n">
        <v>9</v>
      </c>
      <c r="E90" s="10">
        <f>COMBIN(A90,D90)/COMBIN(A90-B90,D90)</f>
        <v/>
      </c>
      <c r="F90" s="11">
        <f>ROUNDUP(E90*Controls!$B$4,4)</f>
        <v/>
      </c>
      <c r="G90" s="12">
        <f>F90/E90</f>
        <v/>
      </c>
      <c r="H90" s="10">
        <f>(A90-B90-(D90-1))/(A90-(D90-1))</f>
        <v/>
      </c>
      <c r="I90" s="9">
        <f>A90&amp;'x'&amp;B90</f>
        <v/>
      </c>
      <c r="J90" s="9">
        <f>IF(AND(G90&gt;0.9,G90&lt;1),"OK","CHECK")</f>
        <v/>
      </c>
    </row>
    <row r="91">
      <c r="A91" s="9" t="n">
        <v>16</v>
      </c>
      <c r="B91" s="9" t="n">
        <v>4</v>
      </c>
      <c r="C91" s="9" t="n">
        <v>12</v>
      </c>
      <c r="D91" s="9" t="n">
        <v>10</v>
      </c>
      <c r="E91" s="10">
        <f>COMBIN(A91,D91)/COMBIN(A91-B91,D91)</f>
        <v/>
      </c>
      <c r="F91" s="11">
        <f>ROUNDUP(E91*Controls!$B$4,4)</f>
        <v/>
      </c>
      <c r="G91" s="12">
        <f>F91/E91</f>
        <v/>
      </c>
      <c r="H91" s="10">
        <f>(A91-B91-(D91-1))/(A91-(D91-1))</f>
        <v/>
      </c>
      <c r="I91" s="9">
        <f>A91&amp;'x'&amp;B91</f>
        <v/>
      </c>
      <c r="J91" s="9">
        <f>IF(AND(G91&gt;0.9,G91&lt;1),"OK","CHECK")</f>
        <v/>
      </c>
    </row>
    <row r="92">
      <c r="A92" s="9" t="n">
        <v>16</v>
      </c>
      <c r="B92" s="9" t="n">
        <v>4</v>
      </c>
      <c r="C92" s="9" t="n">
        <v>12</v>
      </c>
      <c r="D92" s="9" t="n">
        <v>11</v>
      </c>
      <c r="E92" s="10">
        <f>COMBIN(A92,D92)/COMBIN(A92-B92,D92)</f>
        <v/>
      </c>
      <c r="F92" s="11">
        <f>ROUNDUP(E92*Controls!$B$4,4)</f>
        <v/>
      </c>
      <c r="G92" s="12">
        <f>F92/E92</f>
        <v/>
      </c>
      <c r="H92" s="10">
        <f>(A92-B92-(D92-1))/(A92-(D92-1))</f>
        <v/>
      </c>
      <c r="I92" s="9">
        <f>A92&amp;'x'&amp;B92</f>
        <v/>
      </c>
      <c r="J92" s="9">
        <f>IF(AND(G92&gt;0.9,G92&lt;1),"OK","CHECK")</f>
        <v/>
      </c>
    </row>
    <row r="93">
      <c r="A93" s="9" t="n">
        <v>16</v>
      </c>
      <c r="B93" s="9" t="n">
        <v>4</v>
      </c>
      <c r="C93" s="9" t="n">
        <v>12</v>
      </c>
      <c r="D93" s="9" t="n">
        <v>12</v>
      </c>
      <c r="E93" s="10">
        <f>COMBIN(A93,D93)/COMBIN(A93-B93,D93)</f>
        <v/>
      </c>
      <c r="F93" s="11">
        <f>ROUNDUP(E93*Controls!$B$4,4)</f>
        <v/>
      </c>
      <c r="G93" s="12">
        <f>F93/E93</f>
        <v/>
      </c>
      <c r="H93" s="10">
        <f>(A93-B93-(D93-1))/(A93-(D93-1))</f>
        <v/>
      </c>
      <c r="I93" s="9">
        <f>A93&amp;'x'&amp;B93</f>
        <v/>
      </c>
      <c r="J93" s="9">
        <f>IF(AND(G93&gt;0.9,G93&lt;1),"OK","CHECK")</f>
        <v/>
      </c>
    </row>
    <row r="94">
      <c r="A94" s="9" t="n">
        <v>16</v>
      </c>
      <c r="B94" s="9" t="n">
        <v>5</v>
      </c>
      <c r="C94" s="9" t="n">
        <v>11</v>
      </c>
      <c r="D94" s="9" t="n">
        <v>1</v>
      </c>
      <c r="E94" s="10">
        <f>COMBIN(A94,D94)/COMBIN(A94-B94,D94)</f>
        <v/>
      </c>
      <c r="F94" s="11">
        <f>ROUNDUP(E94*Controls!$B$4,4)</f>
        <v/>
      </c>
      <c r="G94" s="12">
        <f>F94/E94</f>
        <v/>
      </c>
      <c r="H94" s="10">
        <f>(A94-B94-(D94-1))/(A94-(D94-1))</f>
        <v/>
      </c>
      <c r="I94" s="9">
        <f>A94&amp;'x'&amp;B94</f>
        <v/>
      </c>
      <c r="J94" s="9">
        <f>IF(AND(G94&gt;0.9,G94&lt;1),"OK","CHECK")</f>
        <v/>
      </c>
    </row>
    <row r="95">
      <c r="A95" s="9" t="n">
        <v>16</v>
      </c>
      <c r="B95" s="9" t="n">
        <v>5</v>
      </c>
      <c r="C95" s="9" t="n">
        <v>11</v>
      </c>
      <c r="D95" s="9" t="n">
        <v>2</v>
      </c>
      <c r="E95" s="10">
        <f>COMBIN(A95,D95)/COMBIN(A95-B95,D95)</f>
        <v/>
      </c>
      <c r="F95" s="11">
        <f>ROUNDUP(E95*Controls!$B$4,4)</f>
        <v/>
      </c>
      <c r="G95" s="12">
        <f>F95/E95</f>
        <v/>
      </c>
      <c r="H95" s="10">
        <f>(A95-B95-(D95-1))/(A95-(D95-1))</f>
        <v/>
      </c>
      <c r="I95" s="9">
        <f>A95&amp;'x'&amp;B95</f>
        <v/>
      </c>
      <c r="J95" s="9">
        <f>IF(AND(G95&gt;0.9,G95&lt;1),"OK","CHECK")</f>
        <v/>
      </c>
    </row>
    <row r="96">
      <c r="A96" s="9" t="n">
        <v>16</v>
      </c>
      <c r="B96" s="9" t="n">
        <v>5</v>
      </c>
      <c r="C96" s="9" t="n">
        <v>11</v>
      </c>
      <c r="D96" s="9" t="n">
        <v>3</v>
      </c>
      <c r="E96" s="10">
        <f>COMBIN(A96,D96)/COMBIN(A96-B96,D96)</f>
        <v/>
      </c>
      <c r="F96" s="11">
        <f>ROUNDUP(E96*Controls!$B$4,4)</f>
        <v/>
      </c>
      <c r="G96" s="12">
        <f>F96/E96</f>
        <v/>
      </c>
      <c r="H96" s="10">
        <f>(A96-B96-(D96-1))/(A96-(D96-1))</f>
        <v/>
      </c>
      <c r="I96" s="9">
        <f>A96&amp;'x'&amp;B96</f>
        <v/>
      </c>
      <c r="J96" s="9">
        <f>IF(AND(G96&gt;0.9,G96&lt;1),"OK","CHECK")</f>
        <v/>
      </c>
    </row>
    <row r="97">
      <c r="A97" s="9" t="n">
        <v>16</v>
      </c>
      <c r="B97" s="9" t="n">
        <v>5</v>
      </c>
      <c r="C97" s="9" t="n">
        <v>11</v>
      </c>
      <c r="D97" s="9" t="n">
        <v>4</v>
      </c>
      <c r="E97" s="10">
        <f>COMBIN(A97,D97)/COMBIN(A97-B97,D97)</f>
        <v/>
      </c>
      <c r="F97" s="11">
        <f>ROUNDUP(E97*Controls!$B$4,4)</f>
        <v/>
      </c>
      <c r="G97" s="12">
        <f>F97/E97</f>
        <v/>
      </c>
      <c r="H97" s="10">
        <f>(A97-B97-(D97-1))/(A97-(D97-1))</f>
        <v/>
      </c>
      <c r="I97" s="9">
        <f>A97&amp;'x'&amp;B97</f>
        <v/>
      </c>
      <c r="J97" s="9">
        <f>IF(AND(G97&gt;0.9,G97&lt;1),"OK","CHECK")</f>
        <v/>
      </c>
    </row>
    <row r="98">
      <c r="A98" s="9" t="n">
        <v>16</v>
      </c>
      <c r="B98" s="9" t="n">
        <v>5</v>
      </c>
      <c r="C98" s="9" t="n">
        <v>11</v>
      </c>
      <c r="D98" s="9" t="n">
        <v>5</v>
      </c>
      <c r="E98" s="10">
        <f>COMBIN(A98,D98)/COMBIN(A98-B98,D98)</f>
        <v/>
      </c>
      <c r="F98" s="11">
        <f>ROUNDUP(E98*Controls!$B$4,4)</f>
        <v/>
      </c>
      <c r="G98" s="12">
        <f>F98/E98</f>
        <v/>
      </c>
      <c r="H98" s="10">
        <f>(A98-B98-(D98-1))/(A98-(D98-1))</f>
        <v/>
      </c>
      <c r="I98" s="9">
        <f>A98&amp;'x'&amp;B98</f>
        <v/>
      </c>
      <c r="J98" s="9">
        <f>IF(AND(G98&gt;0.9,G98&lt;1),"OK","CHECK")</f>
        <v/>
      </c>
    </row>
    <row r="99">
      <c r="A99" s="9" t="n">
        <v>16</v>
      </c>
      <c r="B99" s="9" t="n">
        <v>5</v>
      </c>
      <c r="C99" s="9" t="n">
        <v>11</v>
      </c>
      <c r="D99" s="9" t="n">
        <v>6</v>
      </c>
      <c r="E99" s="10">
        <f>COMBIN(A99,D99)/COMBIN(A99-B99,D99)</f>
        <v/>
      </c>
      <c r="F99" s="11">
        <f>ROUNDUP(E99*Controls!$B$4,4)</f>
        <v/>
      </c>
      <c r="G99" s="12">
        <f>F99/E99</f>
        <v/>
      </c>
      <c r="H99" s="10">
        <f>(A99-B99-(D99-1))/(A99-(D99-1))</f>
        <v/>
      </c>
      <c r="I99" s="9">
        <f>A99&amp;'x'&amp;B99</f>
        <v/>
      </c>
      <c r="J99" s="9">
        <f>IF(AND(G99&gt;0.9,G99&lt;1),"OK","CHECK")</f>
        <v/>
      </c>
    </row>
    <row r="100">
      <c r="A100" s="9" t="n">
        <v>16</v>
      </c>
      <c r="B100" s="9" t="n">
        <v>5</v>
      </c>
      <c r="C100" s="9" t="n">
        <v>11</v>
      </c>
      <c r="D100" s="9" t="n">
        <v>7</v>
      </c>
      <c r="E100" s="10">
        <f>COMBIN(A100,D100)/COMBIN(A100-B100,D100)</f>
        <v/>
      </c>
      <c r="F100" s="11">
        <f>ROUNDUP(E100*Controls!$B$4,4)</f>
        <v/>
      </c>
      <c r="G100" s="12">
        <f>F100/E100</f>
        <v/>
      </c>
      <c r="H100" s="10">
        <f>(A100-B100-(D100-1))/(A100-(D100-1))</f>
        <v/>
      </c>
      <c r="I100" s="9">
        <f>A100&amp;'x'&amp;B100</f>
        <v/>
      </c>
      <c r="J100" s="9">
        <f>IF(AND(G100&gt;0.9,G100&lt;1),"OK","CHECK")</f>
        <v/>
      </c>
    </row>
    <row r="101">
      <c r="A101" s="9" t="n">
        <v>16</v>
      </c>
      <c r="B101" s="9" t="n">
        <v>5</v>
      </c>
      <c r="C101" s="9" t="n">
        <v>11</v>
      </c>
      <c r="D101" s="9" t="n">
        <v>8</v>
      </c>
      <c r="E101" s="10">
        <f>COMBIN(A101,D101)/COMBIN(A101-B101,D101)</f>
        <v/>
      </c>
      <c r="F101" s="11">
        <f>ROUNDUP(E101*Controls!$B$4,4)</f>
        <v/>
      </c>
      <c r="G101" s="12">
        <f>F101/E101</f>
        <v/>
      </c>
      <c r="H101" s="10">
        <f>(A101-B101-(D101-1))/(A101-(D101-1))</f>
        <v/>
      </c>
      <c r="I101" s="9">
        <f>A101&amp;'x'&amp;B101</f>
        <v/>
      </c>
      <c r="J101" s="9">
        <f>IF(AND(G101&gt;0.9,G101&lt;1),"OK","CHECK")</f>
        <v/>
      </c>
    </row>
    <row r="102">
      <c r="A102" s="9" t="n">
        <v>16</v>
      </c>
      <c r="B102" s="9" t="n">
        <v>5</v>
      </c>
      <c r="C102" s="9" t="n">
        <v>11</v>
      </c>
      <c r="D102" s="9" t="n">
        <v>9</v>
      </c>
      <c r="E102" s="10">
        <f>COMBIN(A102,D102)/COMBIN(A102-B102,D102)</f>
        <v/>
      </c>
      <c r="F102" s="11">
        <f>ROUNDUP(E102*Controls!$B$4,4)</f>
        <v/>
      </c>
      <c r="G102" s="12">
        <f>F102/E102</f>
        <v/>
      </c>
      <c r="H102" s="10">
        <f>(A102-B102-(D102-1))/(A102-(D102-1))</f>
        <v/>
      </c>
      <c r="I102" s="9">
        <f>A102&amp;'x'&amp;B102</f>
        <v/>
      </c>
      <c r="J102" s="9">
        <f>IF(AND(G102&gt;0.9,G102&lt;1),"OK","CHECK")</f>
        <v/>
      </c>
    </row>
    <row r="103">
      <c r="A103" s="9" t="n">
        <v>16</v>
      </c>
      <c r="B103" s="9" t="n">
        <v>5</v>
      </c>
      <c r="C103" s="9" t="n">
        <v>11</v>
      </c>
      <c r="D103" s="9" t="n">
        <v>10</v>
      </c>
      <c r="E103" s="10">
        <f>COMBIN(A103,D103)/COMBIN(A103-B103,D103)</f>
        <v/>
      </c>
      <c r="F103" s="11">
        <f>ROUNDUP(E103*Controls!$B$4,4)</f>
        <v/>
      </c>
      <c r="G103" s="12">
        <f>F103/E103</f>
        <v/>
      </c>
      <c r="H103" s="10">
        <f>(A103-B103-(D103-1))/(A103-(D103-1))</f>
        <v/>
      </c>
      <c r="I103" s="9">
        <f>A103&amp;'x'&amp;B103</f>
        <v/>
      </c>
      <c r="J103" s="9">
        <f>IF(AND(G103&gt;0.9,G103&lt;1),"OK","CHECK")</f>
        <v/>
      </c>
    </row>
    <row r="104">
      <c r="A104" s="9" t="n">
        <v>16</v>
      </c>
      <c r="B104" s="9" t="n">
        <v>5</v>
      </c>
      <c r="C104" s="9" t="n">
        <v>11</v>
      </c>
      <c r="D104" s="9" t="n">
        <v>11</v>
      </c>
      <c r="E104" s="10">
        <f>COMBIN(A104,D104)/COMBIN(A104-B104,D104)</f>
        <v/>
      </c>
      <c r="F104" s="11">
        <f>ROUNDUP(E104*Controls!$B$4,4)</f>
        <v/>
      </c>
      <c r="G104" s="12">
        <f>F104/E104</f>
        <v/>
      </c>
      <c r="H104" s="10">
        <f>(A104-B104-(D104-1))/(A104-(D104-1))</f>
        <v/>
      </c>
      <c r="I104" s="9">
        <f>A104&amp;'x'&amp;B104</f>
        <v/>
      </c>
      <c r="J104" s="9">
        <f>IF(AND(G104&gt;0.9,G104&lt;1),"OK","CHECK")</f>
        <v/>
      </c>
    </row>
    <row r="105">
      <c r="A105" s="9" t="n">
        <v>16</v>
      </c>
      <c r="B105" s="9" t="n">
        <v>6</v>
      </c>
      <c r="C105" s="9" t="n">
        <v>10</v>
      </c>
      <c r="D105" s="9" t="n">
        <v>1</v>
      </c>
      <c r="E105" s="10">
        <f>COMBIN(A105,D105)/COMBIN(A105-B105,D105)</f>
        <v/>
      </c>
      <c r="F105" s="11">
        <f>ROUNDUP(E105*Controls!$B$4,4)</f>
        <v/>
      </c>
      <c r="G105" s="12">
        <f>F105/E105</f>
        <v/>
      </c>
      <c r="H105" s="10">
        <f>(A105-B105-(D105-1))/(A105-(D105-1))</f>
        <v/>
      </c>
      <c r="I105" s="9">
        <f>A105&amp;'x'&amp;B105</f>
        <v/>
      </c>
      <c r="J105" s="9">
        <f>IF(AND(G105&gt;0.9,G105&lt;1),"OK","CHECK")</f>
        <v/>
      </c>
    </row>
    <row r="106">
      <c r="A106" s="9" t="n">
        <v>16</v>
      </c>
      <c r="B106" s="9" t="n">
        <v>6</v>
      </c>
      <c r="C106" s="9" t="n">
        <v>10</v>
      </c>
      <c r="D106" s="9" t="n">
        <v>2</v>
      </c>
      <c r="E106" s="10">
        <f>COMBIN(A106,D106)/COMBIN(A106-B106,D106)</f>
        <v/>
      </c>
      <c r="F106" s="11">
        <f>ROUNDUP(E106*Controls!$B$4,4)</f>
        <v/>
      </c>
      <c r="G106" s="12">
        <f>F106/E106</f>
        <v/>
      </c>
      <c r="H106" s="10">
        <f>(A106-B106-(D106-1))/(A106-(D106-1))</f>
        <v/>
      </c>
      <c r="I106" s="9">
        <f>A106&amp;'x'&amp;B106</f>
        <v/>
      </c>
      <c r="J106" s="9">
        <f>IF(AND(G106&gt;0.9,G106&lt;1),"OK","CHECK")</f>
        <v/>
      </c>
    </row>
    <row r="107">
      <c r="A107" s="9" t="n">
        <v>16</v>
      </c>
      <c r="B107" s="9" t="n">
        <v>6</v>
      </c>
      <c r="C107" s="9" t="n">
        <v>10</v>
      </c>
      <c r="D107" s="9" t="n">
        <v>3</v>
      </c>
      <c r="E107" s="10">
        <f>COMBIN(A107,D107)/COMBIN(A107-B107,D107)</f>
        <v/>
      </c>
      <c r="F107" s="11">
        <f>ROUNDUP(E107*Controls!$B$4,4)</f>
        <v/>
      </c>
      <c r="G107" s="12">
        <f>F107/E107</f>
        <v/>
      </c>
      <c r="H107" s="10">
        <f>(A107-B107-(D107-1))/(A107-(D107-1))</f>
        <v/>
      </c>
      <c r="I107" s="9">
        <f>A107&amp;'x'&amp;B107</f>
        <v/>
      </c>
      <c r="J107" s="9">
        <f>IF(AND(G107&gt;0.9,G107&lt;1),"OK","CHECK")</f>
        <v/>
      </c>
    </row>
    <row r="108">
      <c r="A108" s="9" t="n">
        <v>16</v>
      </c>
      <c r="B108" s="9" t="n">
        <v>6</v>
      </c>
      <c r="C108" s="9" t="n">
        <v>10</v>
      </c>
      <c r="D108" s="9" t="n">
        <v>4</v>
      </c>
      <c r="E108" s="10">
        <f>COMBIN(A108,D108)/COMBIN(A108-B108,D108)</f>
        <v/>
      </c>
      <c r="F108" s="11">
        <f>ROUNDUP(E108*Controls!$B$4,4)</f>
        <v/>
      </c>
      <c r="G108" s="12">
        <f>F108/E108</f>
        <v/>
      </c>
      <c r="H108" s="10">
        <f>(A108-B108-(D108-1))/(A108-(D108-1))</f>
        <v/>
      </c>
      <c r="I108" s="9">
        <f>A108&amp;'x'&amp;B108</f>
        <v/>
      </c>
      <c r="J108" s="9">
        <f>IF(AND(G108&gt;0.9,G108&lt;1),"OK","CHECK")</f>
        <v/>
      </c>
    </row>
    <row r="109">
      <c r="A109" s="9" t="n">
        <v>16</v>
      </c>
      <c r="B109" s="9" t="n">
        <v>6</v>
      </c>
      <c r="C109" s="9" t="n">
        <v>10</v>
      </c>
      <c r="D109" s="9" t="n">
        <v>5</v>
      </c>
      <c r="E109" s="10">
        <f>COMBIN(A109,D109)/COMBIN(A109-B109,D109)</f>
        <v/>
      </c>
      <c r="F109" s="11">
        <f>ROUNDUP(E109*Controls!$B$4,4)</f>
        <v/>
      </c>
      <c r="G109" s="12">
        <f>F109/E109</f>
        <v/>
      </c>
      <c r="H109" s="10">
        <f>(A109-B109-(D109-1))/(A109-(D109-1))</f>
        <v/>
      </c>
      <c r="I109" s="9">
        <f>A109&amp;'x'&amp;B109</f>
        <v/>
      </c>
      <c r="J109" s="9">
        <f>IF(AND(G109&gt;0.9,G109&lt;1),"OK","CHECK")</f>
        <v/>
      </c>
    </row>
    <row r="110">
      <c r="A110" s="9" t="n">
        <v>16</v>
      </c>
      <c r="B110" s="9" t="n">
        <v>6</v>
      </c>
      <c r="C110" s="9" t="n">
        <v>10</v>
      </c>
      <c r="D110" s="9" t="n">
        <v>6</v>
      </c>
      <c r="E110" s="10">
        <f>COMBIN(A110,D110)/COMBIN(A110-B110,D110)</f>
        <v/>
      </c>
      <c r="F110" s="11">
        <f>ROUNDUP(E110*Controls!$B$4,4)</f>
        <v/>
      </c>
      <c r="G110" s="12">
        <f>F110/E110</f>
        <v/>
      </c>
      <c r="H110" s="10">
        <f>(A110-B110-(D110-1))/(A110-(D110-1))</f>
        <v/>
      </c>
      <c r="I110" s="9">
        <f>A110&amp;'x'&amp;B110</f>
        <v/>
      </c>
      <c r="J110" s="9">
        <f>IF(AND(G110&gt;0.9,G110&lt;1),"OK","CHECK")</f>
        <v/>
      </c>
    </row>
    <row r="111">
      <c r="A111" s="9" t="n">
        <v>16</v>
      </c>
      <c r="B111" s="9" t="n">
        <v>6</v>
      </c>
      <c r="C111" s="9" t="n">
        <v>10</v>
      </c>
      <c r="D111" s="9" t="n">
        <v>7</v>
      </c>
      <c r="E111" s="10">
        <f>COMBIN(A111,D111)/COMBIN(A111-B111,D111)</f>
        <v/>
      </c>
      <c r="F111" s="11">
        <f>ROUNDUP(E111*Controls!$B$4,4)</f>
        <v/>
      </c>
      <c r="G111" s="12">
        <f>F111/E111</f>
        <v/>
      </c>
      <c r="H111" s="10">
        <f>(A111-B111-(D111-1))/(A111-(D111-1))</f>
        <v/>
      </c>
      <c r="I111" s="9">
        <f>A111&amp;'x'&amp;B111</f>
        <v/>
      </c>
      <c r="J111" s="9">
        <f>IF(AND(G111&gt;0.9,G111&lt;1),"OK","CHECK")</f>
        <v/>
      </c>
    </row>
    <row r="112">
      <c r="A112" s="9" t="n">
        <v>16</v>
      </c>
      <c r="B112" s="9" t="n">
        <v>6</v>
      </c>
      <c r="C112" s="9" t="n">
        <v>10</v>
      </c>
      <c r="D112" s="9" t="n">
        <v>8</v>
      </c>
      <c r="E112" s="10">
        <f>COMBIN(A112,D112)/COMBIN(A112-B112,D112)</f>
        <v/>
      </c>
      <c r="F112" s="11">
        <f>ROUNDUP(E112*Controls!$B$4,4)</f>
        <v/>
      </c>
      <c r="G112" s="12">
        <f>F112/E112</f>
        <v/>
      </c>
      <c r="H112" s="10">
        <f>(A112-B112-(D112-1))/(A112-(D112-1))</f>
        <v/>
      </c>
      <c r="I112" s="9">
        <f>A112&amp;'x'&amp;B112</f>
        <v/>
      </c>
      <c r="J112" s="9">
        <f>IF(AND(G112&gt;0.9,G112&lt;1),"OK","CHECK")</f>
        <v/>
      </c>
    </row>
    <row r="113">
      <c r="A113" s="9" t="n">
        <v>16</v>
      </c>
      <c r="B113" s="9" t="n">
        <v>6</v>
      </c>
      <c r="C113" s="9" t="n">
        <v>10</v>
      </c>
      <c r="D113" s="9" t="n">
        <v>9</v>
      </c>
      <c r="E113" s="10">
        <f>COMBIN(A113,D113)/COMBIN(A113-B113,D113)</f>
        <v/>
      </c>
      <c r="F113" s="11">
        <f>ROUNDUP(E113*Controls!$B$4,4)</f>
        <v/>
      </c>
      <c r="G113" s="12">
        <f>F113/E113</f>
        <v/>
      </c>
      <c r="H113" s="10">
        <f>(A113-B113-(D113-1))/(A113-(D113-1))</f>
        <v/>
      </c>
      <c r="I113" s="9">
        <f>A113&amp;'x'&amp;B113</f>
        <v/>
      </c>
      <c r="J113" s="9">
        <f>IF(AND(G113&gt;0.9,G113&lt;1),"OK","CHECK")</f>
        <v/>
      </c>
    </row>
    <row r="114">
      <c r="A114" s="9" t="n">
        <v>16</v>
      </c>
      <c r="B114" s="9" t="n">
        <v>6</v>
      </c>
      <c r="C114" s="9" t="n">
        <v>10</v>
      </c>
      <c r="D114" s="9" t="n">
        <v>10</v>
      </c>
      <c r="E114" s="10">
        <f>COMBIN(A114,D114)/COMBIN(A114-B114,D114)</f>
        <v/>
      </c>
      <c r="F114" s="11">
        <f>ROUNDUP(E114*Controls!$B$4,4)</f>
        <v/>
      </c>
      <c r="G114" s="12">
        <f>F114/E114</f>
        <v/>
      </c>
      <c r="H114" s="10">
        <f>(A114-B114-(D114-1))/(A114-(D114-1))</f>
        <v/>
      </c>
      <c r="I114" s="9">
        <f>A114&amp;'x'&amp;B114</f>
        <v/>
      </c>
      <c r="J114" s="9">
        <f>IF(AND(G114&gt;0.9,G114&lt;1),"OK","CHECK")</f>
        <v/>
      </c>
    </row>
    <row r="115">
      <c r="A115" s="9" t="n">
        <v>16</v>
      </c>
      <c r="B115" s="9" t="n">
        <v>7</v>
      </c>
      <c r="C115" s="9" t="n">
        <v>9</v>
      </c>
      <c r="D115" s="9" t="n">
        <v>1</v>
      </c>
      <c r="E115" s="10">
        <f>COMBIN(A115,D115)/COMBIN(A115-B115,D115)</f>
        <v/>
      </c>
      <c r="F115" s="11">
        <f>ROUNDUP(E115*Controls!$B$4,4)</f>
        <v/>
      </c>
      <c r="G115" s="12">
        <f>F115/E115</f>
        <v/>
      </c>
      <c r="H115" s="10">
        <f>(A115-B115-(D115-1))/(A115-(D115-1))</f>
        <v/>
      </c>
      <c r="I115" s="9">
        <f>A115&amp;'x'&amp;B115</f>
        <v/>
      </c>
      <c r="J115" s="9">
        <f>IF(AND(G115&gt;0.9,G115&lt;1),"OK","CHECK")</f>
        <v/>
      </c>
    </row>
    <row r="116">
      <c r="A116" s="9" t="n">
        <v>16</v>
      </c>
      <c r="B116" s="9" t="n">
        <v>7</v>
      </c>
      <c r="C116" s="9" t="n">
        <v>9</v>
      </c>
      <c r="D116" s="9" t="n">
        <v>2</v>
      </c>
      <c r="E116" s="10">
        <f>COMBIN(A116,D116)/COMBIN(A116-B116,D116)</f>
        <v/>
      </c>
      <c r="F116" s="11">
        <f>ROUNDUP(E116*Controls!$B$4,4)</f>
        <v/>
      </c>
      <c r="G116" s="12">
        <f>F116/E116</f>
        <v/>
      </c>
      <c r="H116" s="10">
        <f>(A116-B116-(D116-1))/(A116-(D116-1))</f>
        <v/>
      </c>
      <c r="I116" s="9">
        <f>A116&amp;'x'&amp;B116</f>
        <v/>
      </c>
      <c r="J116" s="9">
        <f>IF(AND(G116&gt;0.9,G116&lt;1),"OK","CHECK")</f>
        <v/>
      </c>
    </row>
    <row r="117">
      <c r="A117" s="9" t="n">
        <v>16</v>
      </c>
      <c r="B117" s="9" t="n">
        <v>7</v>
      </c>
      <c r="C117" s="9" t="n">
        <v>9</v>
      </c>
      <c r="D117" s="9" t="n">
        <v>3</v>
      </c>
      <c r="E117" s="10">
        <f>COMBIN(A117,D117)/COMBIN(A117-B117,D117)</f>
        <v/>
      </c>
      <c r="F117" s="11">
        <f>ROUNDUP(E117*Controls!$B$4,4)</f>
        <v/>
      </c>
      <c r="G117" s="12">
        <f>F117/E117</f>
        <v/>
      </c>
      <c r="H117" s="10">
        <f>(A117-B117-(D117-1))/(A117-(D117-1))</f>
        <v/>
      </c>
      <c r="I117" s="9">
        <f>A117&amp;'x'&amp;B117</f>
        <v/>
      </c>
      <c r="J117" s="9">
        <f>IF(AND(G117&gt;0.9,G117&lt;1),"OK","CHECK")</f>
        <v/>
      </c>
    </row>
    <row r="118">
      <c r="A118" s="9" t="n">
        <v>16</v>
      </c>
      <c r="B118" s="9" t="n">
        <v>7</v>
      </c>
      <c r="C118" s="9" t="n">
        <v>9</v>
      </c>
      <c r="D118" s="9" t="n">
        <v>4</v>
      </c>
      <c r="E118" s="10">
        <f>COMBIN(A118,D118)/COMBIN(A118-B118,D118)</f>
        <v/>
      </c>
      <c r="F118" s="11">
        <f>ROUNDUP(E118*Controls!$B$4,4)</f>
        <v/>
      </c>
      <c r="G118" s="12">
        <f>F118/E118</f>
        <v/>
      </c>
      <c r="H118" s="10">
        <f>(A118-B118-(D118-1))/(A118-(D118-1))</f>
        <v/>
      </c>
      <c r="I118" s="9">
        <f>A118&amp;'x'&amp;B118</f>
        <v/>
      </c>
      <c r="J118" s="9">
        <f>IF(AND(G118&gt;0.9,G118&lt;1),"OK","CHECK")</f>
        <v/>
      </c>
    </row>
    <row r="119">
      <c r="A119" s="9" t="n">
        <v>16</v>
      </c>
      <c r="B119" s="9" t="n">
        <v>7</v>
      </c>
      <c r="C119" s="9" t="n">
        <v>9</v>
      </c>
      <c r="D119" s="9" t="n">
        <v>5</v>
      </c>
      <c r="E119" s="10">
        <f>COMBIN(A119,D119)/COMBIN(A119-B119,D119)</f>
        <v/>
      </c>
      <c r="F119" s="11">
        <f>ROUNDUP(E119*Controls!$B$4,4)</f>
        <v/>
      </c>
      <c r="G119" s="12">
        <f>F119/E119</f>
        <v/>
      </c>
      <c r="H119" s="10">
        <f>(A119-B119-(D119-1))/(A119-(D119-1))</f>
        <v/>
      </c>
      <c r="I119" s="9">
        <f>A119&amp;'x'&amp;B119</f>
        <v/>
      </c>
      <c r="J119" s="9">
        <f>IF(AND(G119&gt;0.9,G119&lt;1),"OK","CHECK")</f>
        <v/>
      </c>
    </row>
    <row r="120">
      <c r="A120" s="9" t="n">
        <v>16</v>
      </c>
      <c r="B120" s="9" t="n">
        <v>7</v>
      </c>
      <c r="C120" s="9" t="n">
        <v>9</v>
      </c>
      <c r="D120" s="9" t="n">
        <v>6</v>
      </c>
      <c r="E120" s="10">
        <f>COMBIN(A120,D120)/COMBIN(A120-B120,D120)</f>
        <v/>
      </c>
      <c r="F120" s="11">
        <f>ROUNDUP(E120*Controls!$B$4,4)</f>
        <v/>
      </c>
      <c r="G120" s="12">
        <f>F120/E120</f>
        <v/>
      </c>
      <c r="H120" s="10">
        <f>(A120-B120-(D120-1))/(A120-(D120-1))</f>
        <v/>
      </c>
      <c r="I120" s="9">
        <f>A120&amp;'x'&amp;B120</f>
        <v/>
      </c>
      <c r="J120" s="9">
        <f>IF(AND(G120&gt;0.9,G120&lt;1),"OK","CHECK")</f>
        <v/>
      </c>
    </row>
    <row r="121">
      <c r="A121" s="9" t="n">
        <v>16</v>
      </c>
      <c r="B121" s="9" t="n">
        <v>7</v>
      </c>
      <c r="C121" s="9" t="n">
        <v>9</v>
      </c>
      <c r="D121" s="9" t="n">
        <v>7</v>
      </c>
      <c r="E121" s="10">
        <f>COMBIN(A121,D121)/COMBIN(A121-B121,D121)</f>
        <v/>
      </c>
      <c r="F121" s="11">
        <f>ROUNDUP(E121*Controls!$B$4,4)</f>
        <v/>
      </c>
      <c r="G121" s="12">
        <f>F121/E121</f>
        <v/>
      </c>
      <c r="H121" s="10">
        <f>(A121-B121-(D121-1))/(A121-(D121-1))</f>
        <v/>
      </c>
      <c r="I121" s="9">
        <f>A121&amp;'x'&amp;B121</f>
        <v/>
      </c>
      <c r="J121" s="9">
        <f>IF(AND(G121&gt;0.9,G121&lt;1),"OK","CHECK")</f>
        <v/>
      </c>
    </row>
    <row r="122">
      <c r="A122" s="9" t="n">
        <v>16</v>
      </c>
      <c r="B122" s="9" t="n">
        <v>7</v>
      </c>
      <c r="C122" s="9" t="n">
        <v>9</v>
      </c>
      <c r="D122" s="9" t="n">
        <v>8</v>
      </c>
      <c r="E122" s="10">
        <f>COMBIN(A122,D122)/COMBIN(A122-B122,D122)</f>
        <v/>
      </c>
      <c r="F122" s="11">
        <f>ROUNDUP(E122*Controls!$B$4,4)</f>
        <v/>
      </c>
      <c r="G122" s="12">
        <f>F122/E122</f>
        <v/>
      </c>
      <c r="H122" s="10">
        <f>(A122-B122-(D122-1))/(A122-(D122-1))</f>
        <v/>
      </c>
      <c r="I122" s="9">
        <f>A122&amp;'x'&amp;B122</f>
        <v/>
      </c>
      <c r="J122" s="9">
        <f>IF(AND(G122&gt;0.9,G122&lt;1),"OK","CHECK")</f>
        <v/>
      </c>
    </row>
    <row r="123">
      <c r="A123" s="9" t="n">
        <v>16</v>
      </c>
      <c r="B123" s="9" t="n">
        <v>7</v>
      </c>
      <c r="C123" s="9" t="n">
        <v>9</v>
      </c>
      <c r="D123" s="9" t="n">
        <v>9</v>
      </c>
      <c r="E123" s="10">
        <f>COMBIN(A123,D123)/COMBIN(A123-B123,D123)</f>
        <v/>
      </c>
      <c r="F123" s="11">
        <f>ROUNDUP(E123*Controls!$B$4,4)</f>
        <v/>
      </c>
      <c r="G123" s="12">
        <f>F123/E123</f>
        <v/>
      </c>
      <c r="H123" s="10">
        <f>(A123-B123-(D123-1))/(A123-(D123-1))</f>
        <v/>
      </c>
      <c r="I123" s="9">
        <f>A123&amp;'x'&amp;B123</f>
        <v/>
      </c>
      <c r="J123" s="9">
        <f>IF(AND(G123&gt;0.9,G123&lt;1),"OK","CHECK")</f>
        <v/>
      </c>
    </row>
    <row r="124">
      <c r="A124" s="9" t="n">
        <v>16</v>
      </c>
      <c r="B124" s="9" t="n">
        <v>8</v>
      </c>
      <c r="C124" s="9" t="n">
        <v>8</v>
      </c>
      <c r="D124" s="9" t="n">
        <v>1</v>
      </c>
      <c r="E124" s="10">
        <f>COMBIN(A124,D124)/COMBIN(A124-B124,D124)</f>
        <v/>
      </c>
      <c r="F124" s="11">
        <f>ROUNDUP(E124*Controls!$B$4,4)</f>
        <v/>
      </c>
      <c r="G124" s="12">
        <f>F124/E124</f>
        <v/>
      </c>
      <c r="H124" s="10">
        <f>(A124-B124-(D124-1))/(A124-(D124-1))</f>
        <v/>
      </c>
      <c r="I124" s="9">
        <f>A124&amp;'x'&amp;B124</f>
        <v/>
      </c>
      <c r="J124" s="9">
        <f>IF(AND(G124&gt;0.9,G124&lt;1),"OK","CHECK")</f>
        <v/>
      </c>
    </row>
    <row r="125">
      <c r="A125" s="9" t="n">
        <v>16</v>
      </c>
      <c r="B125" s="9" t="n">
        <v>8</v>
      </c>
      <c r="C125" s="9" t="n">
        <v>8</v>
      </c>
      <c r="D125" s="9" t="n">
        <v>2</v>
      </c>
      <c r="E125" s="10">
        <f>COMBIN(A125,D125)/COMBIN(A125-B125,D125)</f>
        <v/>
      </c>
      <c r="F125" s="11">
        <f>ROUNDUP(E125*Controls!$B$4,4)</f>
        <v/>
      </c>
      <c r="G125" s="12">
        <f>F125/E125</f>
        <v/>
      </c>
      <c r="H125" s="10">
        <f>(A125-B125-(D125-1))/(A125-(D125-1))</f>
        <v/>
      </c>
      <c r="I125" s="9">
        <f>A125&amp;'x'&amp;B125</f>
        <v/>
      </c>
      <c r="J125" s="9">
        <f>IF(AND(G125&gt;0.9,G125&lt;1),"OK","CHECK")</f>
        <v/>
      </c>
    </row>
    <row r="126">
      <c r="A126" s="9" t="n">
        <v>16</v>
      </c>
      <c r="B126" s="9" t="n">
        <v>8</v>
      </c>
      <c r="C126" s="9" t="n">
        <v>8</v>
      </c>
      <c r="D126" s="9" t="n">
        <v>3</v>
      </c>
      <c r="E126" s="10">
        <f>COMBIN(A126,D126)/COMBIN(A126-B126,D126)</f>
        <v/>
      </c>
      <c r="F126" s="11">
        <f>ROUNDUP(E126*Controls!$B$4,4)</f>
        <v/>
      </c>
      <c r="G126" s="12">
        <f>F126/E126</f>
        <v/>
      </c>
      <c r="H126" s="10">
        <f>(A126-B126-(D126-1))/(A126-(D126-1))</f>
        <v/>
      </c>
      <c r="I126" s="9">
        <f>A126&amp;'x'&amp;B126</f>
        <v/>
      </c>
      <c r="J126" s="9">
        <f>IF(AND(G126&gt;0.9,G126&lt;1),"OK","CHECK")</f>
        <v/>
      </c>
    </row>
    <row r="127">
      <c r="A127" s="9" t="n">
        <v>16</v>
      </c>
      <c r="B127" s="9" t="n">
        <v>8</v>
      </c>
      <c r="C127" s="9" t="n">
        <v>8</v>
      </c>
      <c r="D127" s="9" t="n">
        <v>4</v>
      </c>
      <c r="E127" s="10">
        <f>COMBIN(A127,D127)/COMBIN(A127-B127,D127)</f>
        <v/>
      </c>
      <c r="F127" s="11">
        <f>ROUNDUP(E127*Controls!$B$4,4)</f>
        <v/>
      </c>
      <c r="G127" s="12">
        <f>F127/E127</f>
        <v/>
      </c>
      <c r="H127" s="10">
        <f>(A127-B127-(D127-1))/(A127-(D127-1))</f>
        <v/>
      </c>
      <c r="I127" s="9">
        <f>A127&amp;'x'&amp;B127</f>
        <v/>
      </c>
      <c r="J127" s="9">
        <f>IF(AND(G127&gt;0.9,G127&lt;1),"OK","CHECK")</f>
        <v/>
      </c>
    </row>
    <row r="128">
      <c r="A128" s="9" t="n">
        <v>16</v>
      </c>
      <c r="B128" s="9" t="n">
        <v>8</v>
      </c>
      <c r="C128" s="9" t="n">
        <v>8</v>
      </c>
      <c r="D128" s="9" t="n">
        <v>5</v>
      </c>
      <c r="E128" s="10">
        <f>COMBIN(A128,D128)/COMBIN(A128-B128,D128)</f>
        <v/>
      </c>
      <c r="F128" s="11">
        <f>ROUNDUP(E128*Controls!$B$4,4)</f>
        <v/>
      </c>
      <c r="G128" s="12">
        <f>F128/E128</f>
        <v/>
      </c>
      <c r="H128" s="10">
        <f>(A128-B128-(D128-1))/(A128-(D128-1))</f>
        <v/>
      </c>
      <c r="I128" s="9">
        <f>A128&amp;'x'&amp;B128</f>
        <v/>
      </c>
      <c r="J128" s="9">
        <f>IF(AND(G128&gt;0.9,G128&lt;1),"OK","CHECK")</f>
        <v/>
      </c>
    </row>
    <row r="129">
      <c r="A129" s="9" t="n">
        <v>16</v>
      </c>
      <c r="B129" s="9" t="n">
        <v>8</v>
      </c>
      <c r="C129" s="9" t="n">
        <v>8</v>
      </c>
      <c r="D129" s="9" t="n">
        <v>6</v>
      </c>
      <c r="E129" s="10">
        <f>COMBIN(A129,D129)/COMBIN(A129-B129,D129)</f>
        <v/>
      </c>
      <c r="F129" s="11">
        <f>ROUNDUP(E129*Controls!$B$4,4)</f>
        <v/>
      </c>
      <c r="G129" s="12">
        <f>F129/E129</f>
        <v/>
      </c>
      <c r="H129" s="10">
        <f>(A129-B129-(D129-1))/(A129-(D129-1))</f>
        <v/>
      </c>
      <c r="I129" s="9">
        <f>A129&amp;'x'&amp;B129</f>
        <v/>
      </c>
      <c r="J129" s="9">
        <f>IF(AND(G129&gt;0.9,G129&lt;1),"OK","CHECK")</f>
        <v/>
      </c>
    </row>
    <row r="130">
      <c r="A130" s="9" t="n">
        <v>16</v>
      </c>
      <c r="B130" s="9" t="n">
        <v>8</v>
      </c>
      <c r="C130" s="9" t="n">
        <v>8</v>
      </c>
      <c r="D130" s="9" t="n">
        <v>7</v>
      </c>
      <c r="E130" s="10">
        <f>COMBIN(A130,D130)/COMBIN(A130-B130,D130)</f>
        <v/>
      </c>
      <c r="F130" s="11">
        <f>ROUNDUP(E130*Controls!$B$4,4)</f>
        <v/>
      </c>
      <c r="G130" s="12">
        <f>F130/E130</f>
        <v/>
      </c>
      <c r="H130" s="10">
        <f>(A130-B130-(D130-1))/(A130-(D130-1))</f>
        <v/>
      </c>
      <c r="I130" s="9">
        <f>A130&amp;'x'&amp;B130</f>
        <v/>
      </c>
      <c r="J130" s="9">
        <f>IF(AND(G130&gt;0.9,G130&lt;1),"OK","CHECK")</f>
        <v/>
      </c>
    </row>
    <row r="131">
      <c r="A131" s="9" t="n">
        <v>16</v>
      </c>
      <c r="B131" s="9" t="n">
        <v>8</v>
      </c>
      <c r="C131" s="9" t="n">
        <v>8</v>
      </c>
      <c r="D131" s="9" t="n">
        <v>8</v>
      </c>
      <c r="E131" s="10">
        <f>COMBIN(A131,D131)/COMBIN(A131-B131,D131)</f>
        <v/>
      </c>
      <c r="F131" s="11">
        <f>ROUNDUP(E131*Controls!$B$4,4)</f>
        <v/>
      </c>
      <c r="G131" s="12">
        <f>F131/E131</f>
        <v/>
      </c>
      <c r="H131" s="10">
        <f>(A131-B131-(D131-1))/(A131-(D131-1))</f>
        <v/>
      </c>
      <c r="I131" s="9">
        <f>A131&amp;'x'&amp;B131</f>
        <v/>
      </c>
      <c r="J131" s="9">
        <f>IF(AND(G131&gt;0.9,G131&lt;1),"OK","CHECK")</f>
        <v/>
      </c>
    </row>
    <row r="132">
      <c r="A132" s="9" t="n">
        <v>16</v>
      </c>
      <c r="B132" s="9" t="n">
        <v>9</v>
      </c>
      <c r="C132" s="9" t="n">
        <v>7</v>
      </c>
      <c r="D132" s="9" t="n">
        <v>1</v>
      </c>
      <c r="E132" s="10">
        <f>COMBIN(A132,D132)/COMBIN(A132-B132,D132)</f>
        <v/>
      </c>
      <c r="F132" s="11">
        <f>ROUNDUP(E132*Controls!$B$4,4)</f>
        <v/>
      </c>
      <c r="G132" s="12">
        <f>F132/E132</f>
        <v/>
      </c>
      <c r="H132" s="10">
        <f>(A132-B132-(D132-1))/(A132-(D132-1))</f>
        <v/>
      </c>
      <c r="I132" s="9">
        <f>A132&amp;'x'&amp;B132</f>
        <v/>
      </c>
      <c r="J132" s="9">
        <f>IF(AND(G132&gt;0.9,G132&lt;1),"OK","CHECK")</f>
        <v/>
      </c>
    </row>
    <row r="133">
      <c r="A133" s="9" t="n">
        <v>16</v>
      </c>
      <c r="B133" s="9" t="n">
        <v>9</v>
      </c>
      <c r="C133" s="9" t="n">
        <v>7</v>
      </c>
      <c r="D133" s="9" t="n">
        <v>2</v>
      </c>
      <c r="E133" s="10">
        <f>COMBIN(A133,D133)/COMBIN(A133-B133,D133)</f>
        <v/>
      </c>
      <c r="F133" s="11">
        <f>ROUNDUP(E133*Controls!$B$4,4)</f>
        <v/>
      </c>
      <c r="G133" s="12">
        <f>F133/E133</f>
        <v/>
      </c>
      <c r="H133" s="10">
        <f>(A133-B133-(D133-1))/(A133-(D133-1))</f>
        <v/>
      </c>
      <c r="I133" s="9">
        <f>A133&amp;'x'&amp;B133</f>
        <v/>
      </c>
      <c r="J133" s="9">
        <f>IF(AND(G133&gt;0.9,G133&lt;1),"OK","CHECK")</f>
        <v/>
      </c>
    </row>
    <row r="134">
      <c r="A134" s="9" t="n">
        <v>16</v>
      </c>
      <c r="B134" s="9" t="n">
        <v>9</v>
      </c>
      <c r="C134" s="9" t="n">
        <v>7</v>
      </c>
      <c r="D134" s="9" t="n">
        <v>3</v>
      </c>
      <c r="E134" s="10">
        <f>COMBIN(A134,D134)/COMBIN(A134-B134,D134)</f>
        <v/>
      </c>
      <c r="F134" s="11">
        <f>ROUNDUP(E134*Controls!$B$4,4)</f>
        <v/>
      </c>
      <c r="G134" s="12">
        <f>F134/E134</f>
        <v/>
      </c>
      <c r="H134" s="10">
        <f>(A134-B134-(D134-1))/(A134-(D134-1))</f>
        <v/>
      </c>
      <c r="I134" s="9">
        <f>A134&amp;'x'&amp;B134</f>
        <v/>
      </c>
      <c r="J134" s="9">
        <f>IF(AND(G134&gt;0.9,G134&lt;1),"OK","CHECK")</f>
        <v/>
      </c>
    </row>
    <row r="135">
      <c r="A135" s="9" t="n">
        <v>16</v>
      </c>
      <c r="B135" s="9" t="n">
        <v>9</v>
      </c>
      <c r="C135" s="9" t="n">
        <v>7</v>
      </c>
      <c r="D135" s="9" t="n">
        <v>4</v>
      </c>
      <c r="E135" s="10">
        <f>COMBIN(A135,D135)/COMBIN(A135-B135,D135)</f>
        <v/>
      </c>
      <c r="F135" s="11">
        <f>ROUNDUP(E135*Controls!$B$4,4)</f>
        <v/>
      </c>
      <c r="G135" s="12">
        <f>F135/E135</f>
        <v/>
      </c>
      <c r="H135" s="10">
        <f>(A135-B135-(D135-1))/(A135-(D135-1))</f>
        <v/>
      </c>
      <c r="I135" s="9">
        <f>A135&amp;'x'&amp;B135</f>
        <v/>
      </c>
      <c r="J135" s="9">
        <f>IF(AND(G135&gt;0.9,G135&lt;1),"OK","CHECK")</f>
        <v/>
      </c>
    </row>
    <row r="136">
      <c r="A136" s="9" t="n">
        <v>16</v>
      </c>
      <c r="B136" s="9" t="n">
        <v>9</v>
      </c>
      <c r="C136" s="9" t="n">
        <v>7</v>
      </c>
      <c r="D136" s="9" t="n">
        <v>5</v>
      </c>
      <c r="E136" s="10">
        <f>COMBIN(A136,D136)/COMBIN(A136-B136,D136)</f>
        <v/>
      </c>
      <c r="F136" s="11">
        <f>ROUNDUP(E136*Controls!$B$4,4)</f>
        <v/>
      </c>
      <c r="G136" s="12">
        <f>F136/E136</f>
        <v/>
      </c>
      <c r="H136" s="10">
        <f>(A136-B136-(D136-1))/(A136-(D136-1))</f>
        <v/>
      </c>
      <c r="I136" s="9">
        <f>A136&amp;'x'&amp;B136</f>
        <v/>
      </c>
      <c r="J136" s="9">
        <f>IF(AND(G136&gt;0.9,G136&lt;1),"OK","CHECK")</f>
        <v/>
      </c>
    </row>
    <row r="137">
      <c r="A137" s="9" t="n">
        <v>16</v>
      </c>
      <c r="B137" s="9" t="n">
        <v>9</v>
      </c>
      <c r="C137" s="9" t="n">
        <v>7</v>
      </c>
      <c r="D137" s="9" t="n">
        <v>6</v>
      </c>
      <c r="E137" s="10">
        <f>COMBIN(A137,D137)/COMBIN(A137-B137,D137)</f>
        <v/>
      </c>
      <c r="F137" s="11">
        <f>ROUNDUP(E137*Controls!$B$4,4)</f>
        <v/>
      </c>
      <c r="G137" s="12">
        <f>F137/E137</f>
        <v/>
      </c>
      <c r="H137" s="10">
        <f>(A137-B137-(D137-1))/(A137-(D137-1))</f>
        <v/>
      </c>
      <c r="I137" s="9">
        <f>A137&amp;'x'&amp;B137</f>
        <v/>
      </c>
      <c r="J137" s="9">
        <f>IF(AND(G137&gt;0.9,G137&lt;1),"OK","CHECK")</f>
        <v/>
      </c>
    </row>
    <row r="138">
      <c r="A138" s="9" t="n">
        <v>16</v>
      </c>
      <c r="B138" s="9" t="n">
        <v>9</v>
      </c>
      <c r="C138" s="9" t="n">
        <v>7</v>
      </c>
      <c r="D138" s="9" t="n">
        <v>7</v>
      </c>
      <c r="E138" s="10">
        <f>COMBIN(A138,D138)/COMBIN(A138-B138,D138)</f>
        <v/>
      </c>
      <c r="F138" s="11">
        <f>ROUNDUP(E138*Controls!$B$4,4)</f>
        <v/>
      </c>
      <c r="G138" s="12">
        <f>F138/E138</f>
        <v/>
      </c>
      <c r="H138" s="10">
        <f>(A138-B138-(D138-1))/(A138-(D138-1))</f>
        <v/>
      </c>
      <c r="I138" s="9">
        <f>A138&amp;'x'&amp;B138</f>
        <v/>
      </c>
      <c r="J138" s="9">
        <f>IF(AND(G138&gt;0.9,G138&lt;1),"OK","CHECK")</f>
        <v/>
      </c>
    </row>
    <row r="139">
      <c r="A139" s="9" t="n">
        <v>16</v>
      </c>
      <c r="B139" s="9" t="n">
        <v>10</v>
      </c>
      <c r="C139" s="9" t="n">
        <v>6</v>
      </c>
      <c r="D139" s="9" t="n">
        <v>1</v>
      </c>
      <c r="E139" s="10">
        <f>COMBIN(A139,D139)/COMBIN(A139-B139,D139)</f>
        <v/>
      </c>
      <c r="F139" s="11">
        <f>ROUNDUP(E139*Controls!$B$4,4)</f>
        <v/>
      </c>
      <c r="G139" s="12">
        <f>F139/E139</f>
        <v/>
      </c>
      <c r="H139" s="10">
        <f>(A139-B139-(D139-1))/(A139-(D139-1))</f>
        <v/>
      </c>
      <c r="I139" s="9">
        <f>A139&amp;'x'&amp;B139</f>
        <v/>
      </c>
      <c r="J139" s="9">
        <f>IF(AND(G139&gt;0.9,G139&lt;1),"OK","CHECK")</f>
        <v/>
      </c>
    </row>
    <row r="140">
      <c r="A140" s="9" t="n">
        <v>16</v>
      </c>
      <c r="B140" s="9" t="n">
        <v>10</v>
      </c>
      <c r="C140" s="9" t="n">
        <v>6</v>
      </c>
      <c r="D140" s="9" t="n">
        <v>2</v>
      </c>
      <c r="E140" s="10">
        <f>COMBIN(A140,D140)/COMBIN(A140-B140,D140)</f>
        <v/>
      </c>
      <c r="F140" s="11">
        <f>ROUNDUP(E140*Controls!$B$4,4)</f>
        <v/>
      </c>
      <c r="G140" s="12">
        <f>F140/E140</f>
        <v/>
      </c>
      <c r="H140" s="10">
        <f>(A140-B140-(D140-1))/(A140-(D140-1))</f>
        <v/>
      </c>
      <c r="I140" s="9">
        <f>A140&amp;'x'&amp;B140</f>
        <v/>
      </c>
      <c r="J140" s="9">
        <f>IF(AND(G140&gt;0.9,G140&lt;1),"OK","CHECK")</f>
        <v/>
      </c>
    </row>
    <row r="141">
      <c r="A141" s="9" t="n">
        <v>16</v>
      </c>
      <c r="B141" s="9" t="n">
        <v>10</v>
      </c>
      <c r="C141" s="9" t="n">
        <v>6</v>
      </c>
      <c r="D141" s="9" t="n">
        <v>3</v>
      </c>
      <c r="E141" s="10">
        <f>COMBIN(A141,D141)/COMBIN(A141-B141,D141)</f>
        <v/>
      </c>
      <c r="F141" s="11">
        <f>ROUNDUP(E141*Controls!$B$4,4)</f>
        <v/>
      </c>
      <c r="G141" s="12">
        <f>F141/E141</f>
        <v/>
      </c>
      <c r="H141" s="10">
        <f>(A141-B141-(D141-1))/(A141-(D141-1))</f>
        <v/>
      </c>
      <c r="I141" s="9">
        <f>A141&amp;'x'&amp;B141</f>
        <v/>
      </c>
      <c r="J141" s="9">
        <f>IF(AND(G141&gt;0.9,G141&lt;1),"OK","CHECK")</f>
        <v/>
      </c>
    </row>
    <row r="142">
      <c r="A142" s="9" t="n">
        <v>16</v>
      </c>
      <c r="B142" s="9" t="n">
        <v>10</v>
      </c>
      <c r="C142" s="9" t="n">
        <v>6</v>
      </c>
      <c r="D142" s="9" t="n">
        <v>4</v>
      </c>
      <c r="E142" s="10">
        <f>COMBIN(A142,D142)/COMBIN(A142-B142,D142)</f>
        <v/>
      </c>
      <c r="F142" s="11">
        <f>ROUNDUP(E142*Controls!$B$4,4)</f>
        <v/>
      </c>
      <c r="G142" s="12">
        <f>F142/E142</f>
        <v/>
      </c>
      <c r="H142" s="10">
        <f>(A142-B142-(D142-1))/(A142-(D142-1))</f>
        <v/>
      </c>
      <c r="I142" s="9">
        <f>A142&amp;'x'&amp;B142</f>
        <v/>
      </c>
      <c r="J142" s="9">
        <f>IF(AND(G142&gt;0.9,G142&lt;1),"OK","CHECK")</f>
        <v/>
      </c>
    </row>
    <row r="143">
      <c r="A143" s="9" t="n">
        <v>16</v>
      </c>
      <c r="B143" s="9" t="n">
        <v>10</v>
      </c>
      <c r="C143" s="9" t="n">
        <v>6</v>
      </c>
      <c r="D143" s="9" t="n">
        <v>5</v>
      </c>
      <c r="E143" s="10">
        <f>COMBIN(A143,D143)/COMBIN(A143-B143,D143)</f>
        <v/>
      </c>
      <c r="F143" s="11">
        <f>ROUNDUP(E143*Controls!$B$4,4)</f>
        <v/>
      </c>
      <c r="G143" s="12">
        <f>F143/E143</f>
        <v/>
      </c>
      <c r="H143" s="10">
        <f>(A143-B143-(D143-1))/(A143-(D143-1))</f>
        <v/>
      </c>
      <c r="I143" s="9">
        <f>A143&amp;'x'&amp;B143</f>
        <v/>
      </c>
      <c r="J143" s="9">
        <f>IF(AND(G143&gt;0.9,G143&lt;1),"OK","CHECK")</f>
        <v/>
      </c>
    </row>
    <row r="144">
      <c r="A144" s="9" t="n">
        <v>16</v>
      </c>
      <c r="B144" s="9" t="n">
        <v>10</v>
      </c>
      <c r="C144" s="9" t="n">
        <v>6</v>
      </c>
      <c r="D144" s="9" t="n">
        <v>6</v>
      </c>
      <c r="E144" s="10">
        <f>COMBIN(A144,D144)/COMBIN(A144-B144,D144)</f>
        <v/>
      </c>
      <c r="F144" s="11">
        <f>ROUNDUP(E144*Controls!$B$4,4)</f>
        <v/>
      </c>
      <c r="G144" s="12">
        <f>F144/E144</f>
        <v/>
      </c>
      <c r="H144" s="10">
        <f>(A144-B144-(D144-1))/(A144-(D144-1))</f>
        <v/>
      </c>
      <c r="I144" s="9">
        <f>A144&amp;'x'&amp;B144</f>
        <v/>
      </c>
      <c r="J144" s="9">
        <f>IF(AND(G144&gt;0.9,G144&lt;1),"OK","CHECK")</f>
        <v/>
      </c>
    </row>
    <row r="145">
      <c r="A145" s="9" t="n">
        <v>16</v>
      </c>
      <c r="B145" s="9" t="n">
        <v>11</v>
      </c>
      <c r="C145" s="9" t="n">
        <v>5</v>
      </c>
      <c r="D145" s="9" t="n">
        <v>1</v>
      </c>
      <c r="E145" s="10">
        <f>COMBIN(A145,D145)/COMBIN(A145-B145,D145)</f>
        <v/>
      </c>
      <c r="F145" s="11">
        <f>ROUNDUP(E145*Controls!$B$4,4)</f>
        <v/>
      </c>
      <c r="G145" s="12">
        <f>F145/E145</f>
        <v/>
      </c>
      <c r="H145" s="10">
        <f>(A145-B145-(D145-1))/(A145-(D145-1))</f>
        <v/>
      </c>
      <c r="I145" s="9">
        <f>A145&amp;'x'&amp;B145</f>
        <v/>
      </c>
      <c r="J145" s="9">
        <f>IF(AND(G145&gt;0.9,G145&lt;1),"OK","CHECK")</f>
        <v/>
      </c>
    </row>
    <row r="146">
      <c r="A146" s="9" t="n">
        <v>16</v>
      </c>
      <c r="B146" s="9" t="n">
        <v>11</v>
      </c>
      <c r="C146" s="9" t="n">
        <v>5</v>
      </c>
      <c r="D146" s="9" t="n">
        <v>2</v>
      </c>
      <c r="E146" s="10">
        <f>COMBIN(A146,D146)/COMBIN(A146-B146,D146)</f>
        <v/>
      </c>
      <c r="F146" s="11">
        <f>ROUNDUP(E146*Controls!$B$4,4)</f>
        <v/>
      </c>
      <c r="G146" s="12">
        <f>F146/E146</f>
        <v/>
      </c>
      <c r="H146" s="10">
        <f>(A146-B146-(D146-1))/(A146-(D146-1))</f>
        <v/>
      </c>
      <c r="I146" s="9">
        <f>A146&amp;'x'&amp;B146</f>
        <v/>
      </c>
      <c r="J146" s="9">
        <f>IF(AND(G146&gt;0.9,G146&lt;1),"OK","CHECK")</f>
        <v/>
      </c>
    </row>
    <row r="147">
      <c r="A147" s="9" t="n">
        <v>16</v>
      </c>
      <c r="B147" s="9" t="n">
        <v>11</v>
      </c>
      <c r="C147" s="9" t="n">
        <v>5</v>
      </c>
      <c r="D147" s="9" t="n">
        <v>3</v>
      </c>
      <c r="E147" s="10">
        <f>COMBIN(A147,D147)/COMBIN(A147-B147,D147)</f>
        <v/>
      </c>
      <c r="F147" s="11">
        <f>ROUNDUP(E147*Controls!$B$4,4)</f>
        <v/>
      </c>
      <c r="G147" s="12">
        <f>F147/E147</f>
        <v/>
      </c>
      <c r="H147" s="10">
        <f>(A147-B147-(D147-1))/(A147-(D147-1))</f>
        <v/>
      </c>
      <c r="I147" s="9">
        <f>A147&amp;'x'&amp;B147</f>
        <v/>
      </c>
      <c r="J147" s="9">
        <f>IF(AND(G147&gt;0.9,G147&lt;1),"OK","CHECK")</f>
        <v/>
      </c>
    </row>
    <row r="148">
      <c r="A148" s="9" t="n">
        <v>16</v>
      </c>
      <c r="B148" s="9" t="n">
        <v>11</v>
      </c>
      <c r="C148" s="9" t="n">
        <v>5</v>
      </c>
      <c r="D148" s="9" t="n">
        <v>4</v>
      </c>
      <c r="E148" s="10">
        <f>COMBIN(A148,D148)/COMBIN(A148-B148,D148)</f>
        <v/>
      </c>
      <c r="F148" s="11">
        <f>ROUNDUP(E148*Controls!$B$4,4)</f>
        <v/>
      </c>
      <c r="G148" s="12">
        <f>F148/E148</f>
        <v/>
      </c>
      <c r="H148" s="10">
        <f>(A148-B148-(D148-1))/(A148-(D148-1))</f>
        <v/>
      </c>
      <c r="I148" s="9">
        <f>A148&amp;'x'&amp;B148</f>
        <v/>
      </c>
      <c r="J148" s="9">
        <f>IF(AND(G148&gt;0.9,G148&lt;1),"OK","CHECK")</f>
        <v/>
      </c>
    </row>
    <row r="149">
      <c r="A149" s="9" t="n">
        <v>16</v>
      </c>
      <c r="B149" s="9" t="n">
        <v>11</v>
      </c>
      <c r="C149" s="9" t="n">
        <v>5</v>
      </c>
      <c r="D149" s="9" t="n">
        <v>5</v>
      </c>
      <c r="E149" s="10">
        <f>COMBIN(A149,D149)/COMBIN(A149-B149,D149)</f>
        <v/>
      </c>
      <c r="F149" s="11">
        <f>ROUNDUP(E149*Controls!$B$4,4)</f>
        <v/>
      </c>
      <c r="G149" s="12">
        <f>F149/E149</f>
        <v/>
      </c>
      <c r="H149" s="10">
        <f>(A149-B149-(D149-1))/(A149-(D149-1))</f>
        <v/>
      </c>
      <c r="I149" s="9">
        <f>A149&amp;'x'&amp;B149</f>
        <v/>
      </c>
      <c r="J149" s="9">
        <f>IF(AND(G149&gt;0.9,G149&lt;1),"OK","CHECK")</f>
        <v/>
      </c>
    </row>
    <row r="150">
      <c r="A150" s="9" t="n">
        <v>16</v>
      </c>
      <c r="B150" s="9" t="n">
        <v>12</v>
      </c>
      <c r="C150" s="9" t="n">
        <v>4</v>
      </c>
      <c r="D150" s="9" t="n">
        <v>1</v>
      </c>
      <c r="E150" s="10">
        <f>COMBIN(A150,D150)/COMBIN(A150-B150,D150)</f>
        <v/>
      </c>
      <c r="F150" s="11">
        <f>ROUNDUP(E150*Controls!$B$4,4)</f>
        <v/>
      </c>
      <c r="G150" s="12">
        <f>F150/E150</f>
        <v/>
      </c>
      <c r="H150" s="10">
        <f>(A150-B150-(D150-1))/(A150-(D150-1))</f>
        <v/>
      </c>
      <c r="I150" s="9">
        <f>A150&amp;'x'&amp;B150</f>
        <v/>
      </c>
      <c r="J150" s="9">
        <f>IF(AND(G150&gt;0.9,G150&lt;1),"OK","CHECK")</f>
        <v/>
      </c>
    </row>
    <row r="151">
      <c r="A151" s="9" t="n">
        <v>16</v>
      </c>
      <c r="B151" s="9" t="n">
        <v>12</v>
      </c>
      <c r="C151" s="9" t="n">
        <v>4</v>
      </c>
      <c r="D151" s="9" t="n">
        <v>2</v>
      </c>
      <c r="E151" s="10">
        <f>COMBIN(A151,D151)/COMBIN(A151-B151,D151)</f>
        <v/>
      </c>
      <c r="F151" s="11">
        <f>ROUNDUP(E151*Controls!$B$4,4)</f>
        <v/>
      </c>
      <c r="G151" s="12">
        <f>F151/E151</f>
        <v/>
      </c>
      <c r="H151" s="10">
        <f>(A151-B151-(D151-1))/(A151-(D151-1))</f>
        <v/>
      </c>
      <c r="I151" s="9">
        <f>A151&amp;'x'&amp;B151</f>
        <v/>
      </c>
      <c r="J151" s="9">
        <f>IF(AND(G151&gt;0.9,G151&lt;1),"OK","CHECK")</f>
        <v/>
      </c>
    </row>
    <row r="152">
      <c r="A152" s="9" t="n">
        <v>16</v>
      </c>
      <c r="B152" s="9" t="n">
        <v>12</v>
      </c>
      <c r="C152" s="9" t="n">
        <v>4</v>
      </c>
      <c r="D152" s="9" t="n">
        <v>3</v>
      </c>
      <c r="E152" s="10">
        <f>COMBIN(A152,D152)/COMBIN(A152-B152,D152)</f>
        <v/>
      </c>
      <c r="F152" s="11">
        <f>ROUNDUP(E152*Controls!$B$4,4)</f>
        <v/>
      </c>
      <c r="G152" s="12">
        <f>F152/E152</f>
        <v/>
      </c>
      <c r="H152" s="10">
        <f>(A152-B152-(D152-1))/(A152-(D152-1))</f>
        <v/>
      </c>
      <c r="I152" s="9">
        <f>A152&amp;'x'&amp;B152</f>
        <v/>
      </c>
      <c r="J152" s="9">
        <f>IF(AND(G152&gt;0.9,G152&lt;1),"OK","CHECK")</f>
        <v/>
      </c>
    </row>
    <row r="153">
      <c r="A153" s="9" t="n">
        <v>16</v>
      </c>
      <c r="B153" s="9" t="n">
        <v>12</v>
      </c>
      <c r="C153" s="9" t="n">
        <v>4</v>
      </c>
      <c r="D153" s="9" t="n">
        <v>4</v>
      </c>
      <c r="E153" s="10">
        <f>COMBIN(A153,D153)/COMBIN(A153-B153,D153)</f>
        <v/>
      </c>
      <c r="F153" s="11">
        <f>ROUNDUP(E153*Controls!$B$4,4)</f>
        <v/>
      </c>
      <c r="G153" s="12">
        <f>F153/E153</f>
        <v/>
      </c>
      <c r="H153" s="10">
        <f>(A153-B153-(D153-1))/(A153-(D153-1))</f>
        <v/>
      </c>
      <c r="I153" s="9">
        <f>A153&amp;'x'&amp;B153</f>
        <v/>
      </c>
      <c r="J153" s="9">
        <f>IF(AND(G153&gt;0.9,G153&lt;1),"OK","CHECK")</f>
        <v/>
      </c>
    </row>
    <row r="154">
      <c r="A154" s="9" t="n">
        <v>16</v>
      </c>
      <c r="B154" s="9" t="n">
        <v>13</v>
      </c>
      <c r="C154" s="9" t="n">
        <v>3</v>
      </c>
      <c r="D154" s="9" t="n">
        <v>1</v>
      </c>
      <c r="E154" s="10">
        <f>COMBIN(A154,D154)/COMBIN(A154-B154,D154)</f>
        <v/>
      </c>
      <c r="F154" s="11">
        <f>ROUNDUP(E154*Controls!$B$4,4)</f>
        <v/>
      </c>
      <c r="G154" s="12">
        <f>F154/E154</f>
        <v/>
      </c>
      <c r="H154" s="10">
        <f>(A154-B154-(D154-1))/(A154-(D154-1))</f>
        <v/>
      </c>
      <c r="I154" s="9">
        <f>A154&amp;'x'&amp;B154</f>
        <v/>
      </c>
      <c r="J154" s="9">
        <f>IF(AND(G154&gt;0.9,G154&lt;1),"OK","CHECK")</f>
        <v/>
      </c>
    </row>
    <row r="155">
      <c r="A155" s="9" t="n">
        <v>16</v>
      </c>
      <c r="B155" s="9" t="n">
        <v>13</v>
      </c>
      <c r="C155" s="9" t="n">
        <v>3</v>
      </c>
      <c r="D155" s="9" t="n">
        <v>2</v>
      </c>
      <c r="E155" s="10">
        <f>COMBIN(A155,D155)/COMBIN(A155-B155,D155)</f>
        <v/>
      </c>
      <c r="F155" s="11">
        <f>ROUNDUP(E155*Controls!$B$4,4)</f>
        <v/>
      </c>
      <c r="G155" s="12">
        <f>F155/E155</f>
        <v/>
      </c>
      <c r="H155" s="10">
        <f>(A155-B155-(D155-1))/(A155-(D155-1))</f>
        <v/>
      </c>
      <c r="I155" s="9">
        <f>A155&amp;'x'&amp;B155</f>
        <v/>
      </c>
      <c r="J155" s="9">
        <f>IF(AND(G155&gt;0.9,G155&lt;1),"OK","CHECK")</f>
        <v/>
      </c>
    </row>
    <row r="156">
      <c r="A156" s="9" t="n">
        <v>16</v>
      </c>
      <c r="B156" s="9" t="n">
        <v>13</v>
      </c>
      <c r="C156" s="9" t="n">
        <v>3</v>
      </c>
      <c r="D156" s="9" t="n">
        <v>3</v>
      </c>
      <c r="E156" s="10">
        <f>COMBIN(A156,D156)/COMBIN(A156-B156,D156)</f>
        <v/>
      </c>
      <c r="F156" s="11">
        <f>ROUNDUP(E156*Controls!$B$4,4)</f>
        <v/>
      </c>
      <c r="G156" s="12">
        <f>F156/E156</f>
        <v/>
      </c>
      <c r="H156" s="10">
        <f>(A156-B156-(D156-1))/(A156-(D156-1))</f>
        <v/>
      </c>
      <c r="I156" s="9">
        <f>A156&amp;'x'&amp;B156</f>
        <v/>
      </c>
      <c r="J156" s="9">
        <f>IF(AND(G156&gt;0.9,G156&lt;1),"OK","CHECK")</f>
        <v/>
      </c>
    </row>
    <row r="157">
      <c r="A157" s="9" t="n">
        <v>16</v>
      </c>
      <c r="B157" s="9" t="n">
        <v>14</v>
      </c>
      <c r="C157" s="9" t="n">
        <v>2</v>
      </c>
      <c r="D157" s="9" t="n">
        <v>1</v>
      </c>
      <c r="E157" s="10">
        <f>COMBIN(A157,D157)/COMBIN(A157-B157,D157)</f>
        <v/>
      </c>
      <c r="F157" s="11">
        <f>ROUNDUP(E157*Controls!$B$4,4)</f>
        <v/>
      </c>
      <c r="G157" s="12">
        <f>F157/E157</f>
        <v/>
      </c>
      <c r="H157" s="10">
        <f>(A157-B157-(D157-1))/(A157-(D157-1))</f>
        <v/>
      </c>
      <c r="I157" s="9">
        <f>A157&amp;'x'&amp;B157</f>
        <v/>
      </c>
      <c r="J157" s="9">
        <f>IF(AND(G157&gt;0.9,G157&lt;1),"OK","CHECK")</f>
        <v/>
      </c>
    </row>
    <row r="158">
      <c r="A158" s="9" t="n">
        <v>16</v>
      </c>
      <c r="B158" s="9" t="n">
        <v>14</v>
      </c>
      <c r="C158" s="9" t="n">
        <v>2</v>
      </c>
      <c r="D158" s="9" t="n">
        <v>2</v>
      </c>
      <c r="E158" s="10">
        <f>COMBIN(A158,D158)/COMBIN(A158-B158,D158)</f>
        <v/>
      </c>
      <c r="F158" s="11">
        <f>ROUNDUP(E158*Controls!$B$4,4)</f>
        <v/>
      </c>
      <c r="G158" s="12">
        <f>F158/E158</f>
        <v/>
      </c>
      <c r="H158" s="10">
        <f>(A158-B158-(D158-1))/(A158-(D158-1))</f>
        <v/>
      </c>
      <c r="I158" s="9">
        <f>A158&amp;'x'&amp;B158</f>
        <v/>
      </c>
      <c r="J158" s="9">
        <f>IF(AND(G158&gt;0.9,G158&lt;1),"OK","CHECK")</f>
        <v/>
      </c>
    </row>
    <row r="159">
      <c r="A159" s="9" t="n">
        <v>16</v>
      </c>
      <c r="B159" s="9" t="n">
        <v>15</v>
      </c>
      <c r="C159" s="9" t="n">
        <v>1</v>
      </c>
      <c r="D159" s="9" t="n">
        <v>1</v>
      </c>
      <c r="E159" s="10">
        <f>COMBIN(A159,D159)/COMBIN(A159-B159,D159)</f>
        <v/>
      </c>
      <c r="F159" s="11">
        <f>ROUNDUP(E159*Controls!$B$4,4)</f>
        <v/>
      </c>
      <c r="G159" s="12">
        <f>F159/E159</f>
        <v/>
      </c>
      <c r="H159" s="10">
        <f>(A159-B159-(D159-1))/(A159-(D159-1))</f>
        <v/>
      </c>
      <c r="I159" s="9">
        <f>A159&amp;'x'&amp;B159</f>
        <v/>
      </c>
      <c r="J159" s="9">
        <f>IF(AND(G159&gt;0.9,G159&lt;1),"OK","CHECK")</f>
        <v/>
      </c>
    </row>
    <row r="160">
      <c r="A160" s="9" t="n">
        <v>25</v>
      </c>
      <c r="B160" s="9" t="n">
        <v>1</v>
      </c>
      <c r="C160" s="9" t="n">
        <v>24</v>
      </c>
      <c r="D160" s="9" t="n">
        <v>1</v>
      </c>
      <c r="E160" s="10">
        <f>COMBIN(A160,D160)/COMBIN(A160-B160,D160)</f>
        <v/>
      </c>
      <c r="F160" s="11">
        <f>ROUNDUP(E160*Controls!$B$4,4)</f>
        <v/>
      </c>
      <c r="G160" s="12">
        <f>F160/E160</f>
        <v/>
      </c>
      <c r="H160" s="10">
        <f>(A160-B160-(D160-1))/(A160-(D160-1))</f>
        <v/>
      </c>
      <c r="I160" s="9">
        <f>A160&amp;'x'&amp;B160</f>
        <v/>
      </c>
      <c r="J160" s="9">
        <f>IF(AND(G160&gt;0.9,G160&lt;1),"OK","CHECK")</f>
        <v/>
      </c>
    </row>
    <row r="161">
      <c r="A161" s="9" t="n">
        <v>25</v>
      </c>
      <c r="B161" s="9" t="n">
        <v>1</v>
      </c>
      <c r="C161" s="9" t="n">
        <v>24</v>
      </c>
      <c r="D161" s="9" t="n">
        <v>2</v>
      </c>
      <c r="E161" s="10">
        <f>COMBIN(A161,D161)/COMBIN(A161-B161,D161)</f>
        <v/>
      </c>
      <c r="F161" s="11">
        <f>ROUNDUP(E161*Controls!$B$4,4)</f>
        <v/>
      </c>
      <c r="G161" s="12">
        <f>F161/E161</f>
        <v/>
      </c>
      <c r="H161" s="10">
        <f>(A161-B161-(D161-1))/(A161-(D161-1))</f>
        <v/>
      </c>
      <c r="I161" s="9">
        <f>A161&amp;'x'&amp;B161</f>
        <v/>
      </c>
      <c r="J161" s="9">
        <f>IF(AND(G161&gt;0.9,G161&lt;1),"OK","CHECK")</f>
        <v/>
      </c>
    </row>
    <row r="162">
      <c r="A162" s="9" t="n">
        <v>25</v>
      </c>
      <c r="B162" s="9" t="n">
        <v>1</v>
      </c>
      <c r="C162" s="9" t="n">
        <v>24</v>
      </c>
      <c r="D162" s="9" t="n">
        <v>3</v>
      </c>
      <c r="E162" s="10">
        <f>COMBIN(A162,D162)/COMBIN(A162-B162,D162)</f>
        <v/>
      </c>
      <c r="F162" s="11">
        <f>ROUNDUP(E162*Controls!$B$4,4)</f>
        <v/>
      </c>
      <c r="G162" s="12">
        <f>F162/E162</f>
        <v/>
      </c>
      <c r="H162" s="10">
        <f>(A162-B162-(D162-1))/(A162-(D162-1))</f>
        <v/>
      </c>
      <c r="I162" s="9">
        <f>A162&amp;'x'&amp;B162</f>
        <v/>
      </c>
      <c r="J162" s="9">
        <f>IF(AND(G162&gt;0.9,G162&lt;1),"OK","CHECK")</f>
        <v/>
      </c>
    </row>
    <row r="163">
      <c r="A163" s="9" t="n">
        <v>25</v>
      </c>
      <c r="B163" s="9" t="n">
        <v>1</v>
      </c>
      <c r="C163" s="9" t="n">
        <v>24</v>
      </c>
      <c r="D163" s="9" t="n">
        <v>4</v>
      </c>
      <c r="E163" s="10">
        <f>COMBIN(A163,D163)/COMBIN(A163-B163,D163)</f>
        <v/>
      </c>
      <c r="F163" s="11">
        <f>ROUNDUP(E163*Controls!$B$4,4)</f>
        <v/>
      </c>
      <c r="G163" s="12">
        <f>F163/E163</f>
        <v/>
      </c>
      <c r="H163" s="10">
        <f>(A163-B163-(D163-1))/(A163-(D163-1))</f>
        <v/>
      </c>
      <c r="I163" s="9">
        <f>A163&amp;'x'&amp;B163</f>
        <v/>
      </c>
      <c r="J163" s="9">
        <f>IF(AND(G163&gt;0.9,G163&lt;1),"OK","CHECK")</f>
        <v/>
      </c>
    </row>
    <row r="164">
      <c r="A164" s="9" t="n">
        <v>25</v>
      </c>
      <c r="B164" s="9" t="n">
        <v>1</v>
      </c>
      <c r="C164" s="9" t="n">
        <v>24</v>
      </c>
      <c r="D164" s="9" t="n">
        <v>5</v>
      </c>
      <c r="E164" s="10">
        <f>COMBIN(A164,D164)/COMBIN(A164-B164,D164)</f>
        <v/>
      </c>
      <c r="F164" s="11">
        <f>ROUNDUP(E164*Controls!$B$4,4)</f>
        <v/>
      </c>
      <c r="G164" s="12">
        <f>F164/E164</f>
        <v/>
      </c>
      <c r="H164" s="10">
        <f>(A164-B164-(D164-1))/(A164-(D164-1))</f>
        <v/>
      </c>
      <c r="I164" s="9">
        <f>A164&amp;'x'&amp;B164</f>
        <v/>
      </c>
      <c r="J164" s="9">
        <f>IF(AND(G164&gt;0.9,G164&lt;1),"OK","CHECK")</f>
        <v/>
      </c>
    </row>
    <row r="165">
      <c r="A165" s="9" t="n">
        <v>25</v>
      </c>
      <c r="B165" s="9" t="n">
        <v>1</v>
      </c>
      <c r="C165" s="9" t="n">
        <v>24</v>
      </c>
      <c r="D165" s="9" t="n">
        <v>6</v>
      </c>
      <c r="E165" s="10">
        <f>COMBIN(A165,D165)/COMBIN(A165-B165,D165)</f>
        <v/>
      </c>
      <c r="F165" s="11">
        <f>ROUNDUP(E165*Controls!$B$4,4)</f>
        <v/>
      </c>
      <c r="G165" s="12">
        <f>F165/E165</f>
        <v/>
      </c>
      <c r="H165" s="10">
        <f>(A165-B165-(D165-1))/(A165-(D165-1))</f>
        <v/>
      </c>
      <c r="I165" s="9">
        <f>A165&amp;'x'&amp;B165</f>
        <v/>
      </c>
      <c r="J165" s="9">
        <f>IF(AND(G165&gt;0.9,G165&lt;1),"OK","CHECK")</f>
        <v/>
      </c>
    </row>
    <row r="166">
      <c r="A166" s="9" t="n">
        <v>25</v>
      </c>
      <c r="B166" s="9" t="n">
        <v>1</v>
      </c>
      <c r="C166" s="9" t="n">
        <v>24</v>
      </c>
      <c r="D166" s="9" t="n">
        <v>7</v>
      </c>
      <c r="E166" s="10">
        <f>COMBIN(A166,D166)/COMBIN(A166-B166,D166)</f>
        <v/>
      </c>
      <c r="F166" s="11">
        <f>ROUNDUP(E166*Controls!$B$4,4)</f>
        <v/>
      </c>
      <c r="G166" s="12">
        <f>F166/E166</f>
        <v/>
      </c>
      <c r="H166" s="10">
        <f>(A166-B166-(D166-1))/(A166-(D166-1))</f>
        <v/>
      </c>
      <c r="I166" s="9">
        <f>A166&amp;'x'&amp;B166</f>
        <v/>
      </c>
      <c r="J166" s="9">
        <f>IF(AND(G166&gt;0.9,G166&lt;1),"OK","CHECK")</f>
        <v/>
      </c>
    </row>
    <row r="167">
      <c r="A167" s="9" t="n">
        <v>25</v>
      </c>
      <c r="B167" s="9" t="n">
        <v>1</v>
      </c>
      <c r="C167" s="9" t="n">
        <v>24</v>
      </c>
      <c r="D167" s="9" t="n">
        <v>8</v>
      </c>
      <c r="E167" s="10">
        <f>COMBIN(A167,D167)/COMBIN(A167-B167,D167)</f>
        <v/>
      </c>
      <c r="F167" s="11">
        <f>ROUNDUP(E167*Controls!$B$4,4)</f>
        <v/>
      </c>
      <c r="G167" s="12">
        <f>F167/E167</f>
        <v/>
      </c>
      <c r="H167" s="10">
        <f>(A167-B167-(D167-1))/(A167-(D167-1))</f>
        <v/>
      </c>
      <c r="I167" s="9">
        <f>A167&amp;'x'&amp;B167</f>
        <v/>
      </c>
      <c r="J167" s="9">
        <f>IF(AND(G167&gt;0.9,G167&lt;1),"OK","CHECK")</f>
        <v/>
      </c>
    </row>
    <row r="168">
      <c r="A168" s="9" t="n">
        <v>25</v>
      </c>
      <c r="B168" s="9" t="n">
        <v>1</v>
      </c>
      <c r="C168" s="9" t="n">
        <v>24</v>
      </c>
      <c r="D168" s="9" t="n">
        <v>9</v>
      </c>
      <c r="E168" s="10">
        <f>COMBIN(A168,D168)/COMBIN(A168-B168,D168)</f>
        <v/>
      </c>
      <c r="F168" s="11">
        <f>ROUNDUP(E168*Controls!$B$4,4)</f>
        <v/>
      </c>
      <c r="G168" s="12">
        <f>F168/E168</f>
        <v/>
      </c>
      <c r="H168" s="10">
        <f>(A168-B168-(D168-1))/(A168-(D168-1))</f>
        <v/>
      </c>
      <c r="I168" s="9">
        <f>A168&amp;'x'&amp;B168</f>
        <v/>
      </c>
      <c r="J168" s="9">
        <f>IF(AND(G168&gt;0.9,G168&lt;1),"OK","CHECK")</f>
        <v/>
      </c>
    </row>
    <row r="169">
      <c r="A169" s="9" t="n">
        <v>25</v>
      </c>
      <c r="B169" s="9" t="n">
        <v>1</v>
      </c>
      <c r="C169" s="9" t="n">
        <v>24</v>
      </c>
      <c r="D169" s="9" t="n">
        <v>10</v>
      </c>
      <c r="E169" s="10">
        <f>COMBIN(A169,D169)/COMBIN(A169-B169,D169)</f>
        <v/>
      </c>
      <c r="F169" s="11">
        <f>ROUNDUP(E169*Controls!$B$4,4)</f>
        <v/>
      </c>
      <c r="G169" s="12">
        <f>F169/E169</f>
        <v/>
      </c>
      <c r="H169" s="10">
        <f>(A169-B169-(D169-1))/(A169-(D169-1))</f>
        <v/>
      </c>
      <c r="I169" s="9">
        <f>A169&amp;'x'&amp;B169</f>
        <v/>
      </c>
      <c r="J169" s="9">
        <f>IF(AND(G169&gt;0.9,G169&lt;1),"OK","CHECK")</f>
        <v/>
      </c>
    </row>
    <row r="170">
      <c r="A170" s="9" t="n">
        <v>25</v>
      </c>
      <c r="B170" s="9" t="n">
        <v>1</v>
      </c>
      <c r="C170" s="9" t="n">
        <v>24</v>
      </c>
      <c r="D170" s="9" t="n">
        <v>11</v>
      </c>
      <c r="E170" s="10">
        <f>COMBIN(A170,D170)/COMBIN(A170-B170,D170)</f>
        <v/>
      </c>
      <c r="F170" s="11">
        <f>ROUNDUP(E170*Controls!$B$4,4)</f>
        <v/>
      </c>
      <c r="G170" s="12">
        <f>F170/E170</f>
        <v/>
      </c>
      <c r="H170" s="10">
        <f>(A170-B170-(D170-1))/(A170-(D170-1))</f>
        <v/>
      </c>
      <c r="I170" s="9">
        <f>A170&amp;'x'&amp;B170</f>
        <v/>
      </c>
      <c r="J170" s="9">
        <f>IF(AND(G170&gt;0.9,G170&lt;1),"OK","CHECK")</f>
        <v/>
      </c>
    </row>
    <row r="171">
      <c r="A171" s="9" t="n">
        <v>25</v>
      </c>
      <c r="B171" s="9" t="n">
        <v>1</v>
      </c>
      <c r="C171" s="9" t="n">
        <v>24</v>
      </c>
      <c r="D171" s="9" t="n">
        <v>12</v>
      </c>
      <c r="E171" s="10">
        <f>COMBIN(A171,D171)/COMBIN(A171-B171,D171)</f>
        <v/>
      </c>
      <c r="F171" s="11">
        <f>ROUNDUP(E171*Controls!$B$4,4)</f>
        <v/>
      </c>
      <c r="G171" s="12">
        <f>F171/E171</f>
        <v/>
      </c>
      <c r="H171" s="10">
        <f>(A171-B171-(D171-1))/(A171-(D171-1))</f>
        <v/>
      </c>
      <c r="I171" s="9">
        <f>A171&amp;'x'&amp;B171</f>
        <v/>
      </c>
      <c r="J171" s="9">
        <f>IF(AND(G171&gt;0.9,G171&lt;1),"OK","CHECK")</f>
        <v/>
      </c>
    </row>
    <row r="172">
      <c r="A172" s="9" t="n">
        <v>25</v>
      </c>
      <c r="B172" s="9" t="n">
        <v>1</v>
      </c>
      <c r="C172" s="9" t="n">
        <v>24</v>
      </c>
      <c r="D172" s="9" t="n">
        <v>13</v>
      </c>
      <c r="E172" s="10">
        <f>COMBIN(A172,D172)/COMBIN(A172-B172,D172)</f>
        <v/>
      </c>
      <c r="F172" s="11">
        <f>ROUNDUP(E172*Controls!$B$4,4)</f>
        <v/>
      </c>
      <c r="G172" s="12">
        <f>F172/E172</f>
        <v/>
      </c>
      <c r="H172" s="10">
        <f>(A172-B172-(D172-1))/(A172-(D172-1))</f>
        <v/>
      </c>
      <c r="I172" s="9">
        <f>A172&amp;'x'&amp;B172</f>
        <v/>
      </c>
      <c r="J172" s="9">
        <f>IF(AND(G172&gt;0.9,G172&lt;1),"OK","CHECK")</f>
        <v/>
      </c>
    </row>
    <row r="173">
      <c r="A173" s="9" t="n">
        <v>25</v>
      </c>
      <c r="B173" s="9" t="n">
        <v>1</v>
      </c>
      <c r="C173" s="9" t="n">
        <v>24</v>
      </c>
      <c r="D173" s="9" t="n">
        <v>14</v>
      </c>
      <c r="E173" s="10">
        <f>COMBIN(A173,D173)/COMBIN(A173-B173,D173)</f>
        <v/>
      </c>
      <c r="F173" s="11">
        <f>ROUNDUP(E173*Controls!$B$4,4)</f>
        <v/>
      </c>
      <c r="G173" s="12">
        <f>F173/E173</f>
        <v/>
      </c>
      <c r="H173" s="10">
        <f>(A173-B173-(D173-1))/(A173-(D173-1))</f>
        <v/>
      </c>
      <c r="I173" s="9">
        <f>A173&amp;'x'&amp;B173</f>
        <v/>
      </c>
      <c r="J173" s="9">
        <f>IF(AND(G173&gt;0.9,G173&lt;1),"OK","CHECK")</f>
        <v/>
      </c>
    </row>
    <row r="174">
      <c r="A174" s="9" t="n">
        <v>25</v>
      </c>
      <c r="B174" s="9" t="n">
        <v>1</v>
      </c>
      <c r="C174" s="9" t="n">
        <v>24</v>
      </c>
      <c r="D174" s="9" t="n">
        <v>15</v>
      </c>
      <c r="E174" s="10">
        <f>COMBIN(A174,D174)/COMBIN(A174-B174,D174)</f>
        <v/>
      </c>
      <c r="F174" s="11">
        <f>ROUNDUP(E174*Controls!$B$4,4)</f>
        <v/>
      </c>
      <c r="G174" s="12">
        <f>F174/E174</f>
        <v/>
      </c>
      <c r="H174" s="10">
        <f>(A174-B174-(D174-1))/(A174-(D174-1))</f>
        <v/>
      </c>
      <c r="I174" s="9">
        <f>A174&amp;'x'&amp;B174</f>
        <v/>
      </c>
      <c r="J174" s="9">
        <f>IF(AND(G174&gt;0.9,G174&lt;1),"OK","CHECK")</f>
        <v/>
      </c>
    </row>
    <row r="175">
      <c r="A175" s="9" t="n">
        <v>25</v>
      </c>
      <c r="B175" s="9" t="n">
        <v>1</v>
      </c>
      <c r="C175" s="9" t="n">
        <v>24</v>
      </c>
      <c r="D175" s="9" t="n">
        <v>16</v>
      </c>
      <c r="E175" s="10">
        <f>COMBIN(A175,D175)/COMBIN(A175-B175,D175)</f>
        <v/>
      </c>
      <c r="F175" s="11">
        <f>ROUNDUP(E175*Controls!$B$4,4)</f>
        <v/>
      </c>
      <c r="G175" s="12">
        <f>F175/E175</f>
        <v/>
      </c>
      <c r="H175" s="10">
        <f>(A175-B175-(D175-1))/(A175-(D175-1))</f>
        <v/>
      </c>
      <c r="I175" s="9">
        <f>A175&amp;'x'&amp;B175</f>
        <v/>
      </c>
      <c r="J175" s="9">
        <f>IF(AND(G175&gt;0.9,G175&lt;1),"OK","CHECK")</f>
        <v/>
      </c>
    </row>
    <row r="176">
      <c r="A176" s="9" t="n">
        <v>25</v>
      </c>
      <c r="B176" s="9" t="n">
        <v>1</v>
      </c>
      <c r="C176" s="9" t="n">
        <v>24</v>
      </c>
      <c r="D176" s="9" t="n">
        <v>17</v>
      </c>
      <c r="E176" s="10">
        <f>COMBIN(A176,D176)/COMBIN(A176-B176,D176)</f>
        <v/>
      </c>
      <c r="F176" s="11">
        <f>ROUNDUP(E176*Controls!$B$4,4)</f>
        <v/>
      </c>
      <c r="G176" s="12">
        <f>F176/E176</f>
        <v/>
      </c>
      <c r="H176" s="10">
        <f>(A176-B176-(D176-1))/(A176-(D176-1))</f>
        <v/>
      </c>
      <c r="I176" s="9">
        <f>A176&amp;'x'&amp;B176</f>
        <v/>
      </c>
      <c r="J176" s="9">
        <f>IF(AND(G176&gt;0.9,G176&lt;1),"OK","CHECK")</f>
        <v/>
      </c>
    </row>
    <row r="177">
      <c r="A177" s="9" t="n">
        <v>25</v>
      </c>
      <c r="B177" s="9" t="n">
        <v>1</v>
      </c>
      <c r="C177" s="9" t="n">
        <v>24</v>
      </c>
      <c r="D177" s="9" t="n">
        <v>18</v>
      </c>
      <c r="E177" s="10">
        <f>COMBIN(A177,D177)/COMBIN(A177-B177,D177)</f>
        <v/>
      </c>
      <c r="F177" s="11">
        <f>ROUNDUP(E177*Controls!$B$4,4)</f>
        <v/>
      </c>
      <c r="G177" s="12">
        <f>F177/E177</f>
        <v/>
      </c>
      <c r="H177" s="10">
        <f>(A177-B177-(D177-1))/(A177-(D177-1))</f>
        <v/>
      </c>
      <c r="I177" s="9">
        <f>A177&amp;'x'&amp;B177</f>
        <v/>
      </c>
      <c r="J177" s="9">
        <f>IF(AND(G177&gt;0.9,G177&lt;1),"OK","CHECK")</f>
        <v/>
      </c>
    </row>
    <row r="178">
      <c r="A178" s="9" t="n">
        <v>25</v>
      </c>
      <c r="B178" s="9" t="n">
        <v>1</v>
      </c>
      <c r="C178" s="9" t="n">
        <v>24</v>
      </c>
      <c r="D178" s="9" t="n">
        <v>19</v>
      </c>
      <c r="E178" s="10">
        <f>COMBIN(A178,D178)/COMBIN(A178-B178,D178)</f>
        <v/>
      </c>
      <c r="F178" s="11">
        <f>ROUNDUP(E178*Controls!$B$4,4)</f>
        <v/>
      </c>
      <c r="G178" s="12">
        <f>F178/E178</f>
        <v/>
      </c>
      <c r="H178" s="10">
        <f>(A178-B178-(D178-1))/(A178-(D178-1))</f>
        <v/>
      </c>
      <c r="I178" s="9">
        <f>A178&amp;'x'&amp;B178</f>
        <v/>
      </c>
      <c r="J178" s="9">
        <f>IF(AND(G178&gt;0.9,G178&lt;1),"OK","CHECK")</f>
        <v/>
      </c>
    </row>
    <row r="179">
      <c r="A179" s="9" t="n">
        <v>25</v>
      </c>
      <c r="B179" s="9" t="n">
        <v>1</v>
      </c>
      <c r="C179" s="9" t="n">
        <v>24</v>
      </c>
      <c r="D179" s="9" t="n">
        <v>20</v>
      </c>
      <c r="E179" s="10">
        <f>COMBIN(A179,D179)/COMBIN(A179-B179,D179)</f>
        <v/>
      </c>
      <c r="F179" s="11">
        <f>ROUNDUP(E179*Controls!$B$4,4)</f>
        <v/>
      </c>
      <c r="G179" s="12">
        <f>F179/E179</f>
        <v/>
      </c>
      <c r="H179" s="10">
        <f>(A179-B179-(D179-1))/(A179-(D179-1))</f>
        <v/>
      </c>
      <c r="I179" s="9">
        <f>A179&amp;'x'&amp;B179</f>
        <v/>
      </c>
      <c r="J179" s="9">
        <f>IF(AND(G179&gt;0.9,G179&lt;1),"OK","CHECK")</f>
        <v/>
      </c>
    </row>
    <row r="180">
      <c r="A180" s="9" t="n">
        <v>25</v>
      </c>
      <c r="B180" s="9" t="n">
        <v>1</v>
      </c>
      <c r="C180" s="9" t="n">
        <v>24</v>
      </c>
      <c r="D180" s="9" t="n">
        <v>21</v>
      </c>
      <c r="E180" s="10">
        <f>COMBIN(A180,D180)/COMBIN(A180-B180,D180)</f>
        <v/>
      </c>
      <c r="F180" s="11">
        <f>ROUNDUP(E180*Controls!$B$4,4)</f>
        <v/>
      </c>
      <c r="G180" s="12">
        <f>F180/E180</f>
        <v/>
      </c>
      <c r="H180" s="10">
        <f>(A180-B180-(D180-1))/(A180-(D180-1))</f>
        <v/>
      </c>
      <c r="I180" s="9">
        <f>A180&amp;'x'&amp;B180</f>
        <v/>
      </c>
      <c r="J180" s="9">
        <f>IF(AND(G180&gt;0.9,G180&lt;1),"OK","CHECK")</f>
        <v/>
      </c>
    </row>
    <row r="181">
      <c r="A181" s="9" t="n">
        <v>25</v>
      </c>
      <c r="B181" s="9" t="n">
        <v>1</v>
      </c>
      <c r="C181" s="9" t="n">
        <v>24</v>
      </c>
      <c r="D181" s="9" t="n">
        <v>22</v>
      </c>
      <c r="E181" s="10">
        <f>COMBIN(A181,D181)/COMBIN(A181-B181,D181)</f>
        <v/>
      </c>
      <c r="F181" s="11">
        <f>ROUNDUP(E181*Controls!$B$4,4)</f>
        <v/>
      </c>
      <c r="G181" s="12">
        <f>F181/E181</f>
        <v/>
      </c>
      <c r="H181" s="10">
        <f>(A181-B181-(D181-1))/(A181-(D181-1))</f>
        <v/>
      </c>
      <c r="I181" s="9">
        <f>A181&amp;'x'&amp;B181</f>
        <v/>
      </c>
      <c r="J181" s="9">
        <f>IF(AND(G181&gt;0.9,G181&lt;1),"OK","CHECK")</f>
        <v/>
      </c>
    </row>
    <row r="182">
      <c r="A182" s="9" t="n">
        <v>25</v>
      </c>
      <c r="B182" s="9" t="n">
        <v>1</v>
      </c>
      <c r="C182" s="9" t="n">
        <v>24</v>
      </c>
      <c r="D182" s="9" t="n">
        <v>23</v>
      </c>
      <c r="E182" s="10">
        <f>COMBIN(A182,D182)/COMBIN(A182-B182,D182)</f>
        <v/>
      </c>
      <c r="F182" s="11">
        <f>ROUNDUP(E182*Controls!$B$4,4)</f>
        <v/>
      </c>
      <c r="G182" s="12">
        <f>F182/E182</f>
        <v/>
      </c>
      <c r="H182" s="10">
        <f>(A182-B182-(D182-1))/(A182-(D182-1))</f>
        <v/>
      </c>
      <c r="I182" s="9">
        <f>A182&amp;'x'&amp;B182</f>
        <v/>
      </c>
      <c r="J182" s="9">
        <f>IF(AND(G182&gt;0.9,G182&lt;1),"OK","CHECK")</f>
        <v/>
      </c>
    </row>
    <row r="183">
      <c r="A183" s="9" t="n">
        <v>25</v>
      </c>
      <c r="B183" s="9" t="n">
        <v>1</v>
      </c>
      <c r="C183" s="9" t="n">
        <v>24</v>
      </c>
      <c r="D183" s="9" t="n">
        <v>24</v>
      </c>
      <c r="E183" s="10">
        <f>COMBIN(A183,D183)/COMBIN(A183-B183,D183)</f>
        <v/>
      </c>
      <c r="F183" s="11">
        <f>ROUNDUP(E183*Controls!$B$4,4)</f>
        <v/>
      </c>
      <c r="G183" s="12">
        <f>F183/E183</f>
        <v/>
      </c>
      <c r="H183" s="10">
        <f>(A183-B183-(D183-1))/(A183-(D183-1))</f>
        <v/>
      </c>
      <c r="I183" s="9">
        <f>A183&amp;'x'&amp;B183</f>
        <v/>
      </c>
      <c r="J183" s="9">
        <f>IF(AND(G183&gt;0.9,G183&lt;1),"OK","CHECK")</f>
        <v/>
      </c>
    </row>
    <row r="184">
      <c r="A184" s="9" t="n">
        <v>25</v>
      </c>
      <c r="B184" s="9" t="n">
        <v>2</v>
      </c>
      <c r="C184" s="9" t="n">
        <v>23</v>
      </c>
      <c r="D184" s="9" t="n">
        <v>1</v>
      </c>
      <c r="E184" s="10">
        <f>COMBIN(A184,D184)/COMBIN(A184-B184,D184)</f>
        <v/>
      </c>
      <c r="F184" s="11">
        <f>ROUNDUP(E184*Controls!$B$4,4)</f>
        <v/>
      </c>
      <c r="G184" s="12">
        <f>F184/E184</f>
        <v/>
      </c>
      <c r="H184" s="10">
        <f>(A184-B184-(D184-1))/(A184-(D184-1))</f>
        <v/>
      </c>
      <c r="I184" s="9">
        <f>A184&amp;'x'&amp;B184</f>
        <v/>
      </c>
      <c r="J184" s="9">
        <f>IF(AND(G184&gt;0.9,G184&lt;1),"OK","CHECK")</f>
        <v/>
      </c>
    </row>
    <row r="185">
      <c r="A185" s="9" t="n">
        <v>25</v>
      </c>
      <c r="B185" s="9" t="n">
        <v>2</v>
      </c>
      <c r="C185" s="9" t="n">
        <v>23</v>
      </c>
      <c r="D185" s="9" t="n">
        <v>2</v>
      </c>
      <c r="E185" s="10">
        <f>COMBIN(A185,D185)/COMBIN(A185-B185,D185)</f>
        <v/>
      </c>
      <c r="F185" s="11">
        <f>ROUNDUP(E185*Controls!$B$4,4)</f>
        <v/>
      </c>
      <c r="G185" s="12">
        <f>F185/E185</f>
        <v/>
      </c>
      <c r="H185" s="10">
        <f>(A185-B185-(D185-1))/(A185-(D185-1))</f>
        <v/>
      </c>
      <c r="I185" s="9">
        <f>A185&amp;'x'&amp;B185</f>
        <v/>
      </c>
      <c r="J185" s="9">
        <f>IF(AND(G185&gt;0.9,G185&lt;1),"OK","CHECK")</f>
        <v/>
      </c>
    </row>
    <row r="186">
      <c r="A186" s="9" t="n">
        <v>25</v>
      </c>
      <c r="B186" s="9" t="n">
        <v>2</v>
      </c>
      <c r="C186" s="9" t="n">
        <v>23</v>
      </c>
      <c r="D186" s="9" t="n">
        <v>3</v>
      </c>
      <c r="E186" s="10">
        <f>COMBIN(A186,D186)/COMBIN(A186-B186,D186)</f>
        <v/>
      </c>
      <c r="F186" s="11">
        <f>ROUNDUP(E186*Controls!$B$4,4)</f>
        <v/>
      </c>
      <c r="G186" s="12">
        <f>F186/E186</f>
        <v/>
      </c>
      <c r="H186" s="10">
        <f>(A186-B186-(D186-1))/(A186-(D186-1))</f>
        <v/>
      </c>
      <c r="I186" s="9">
        <f>A186&amp;'x'&amp;B186</f>
        <v/>
      </c>
      <c r="J186" s="9">
        <f>IF(AND(G186&gt;0.9,G186&lt;1),"OK","CHECK")</f>
        <v/>
      </c>
    </row>
    <row r="187">
      <c r="A187" s="9" t="n">
        <v>25</v>
      </c>
      <c r="B187" s="9" t="n">
        <v>2</v>
      </c>
      <c r="C187" s="9" t="n">
        <v>23</v>
      </c>
      <c r="D187" s="9" t="n">
        <v>4</v>
      </c>
      <c r="E187" s="10">
        <f>COMBIN(A187,D187)/COMBIN(A187-B187,D187)</f>
        <v/>
      </c>
      <c r="F187" s="11">
        <f>ROUNDUP(E187*Controls!$B$4,4)</f>
        <v/>
      </c>
      <c r="G187" s="12">
        <f>F187/E187</f>
        <v/>
      </c>
      <c r="H187" s="10">
        <f>(A187-B187-(D187-1))/(A187-(D187-1))</f>
        <v/>
      </c>
      <c r="I187" s="9">
        <f>A187&amp;'x'&amp;B187</f>
        <v/>
      </c>
      <c r="J187" s="9">
        <f>IF(AND(G187&gt;0.9,G187&lt;1),"OK","CHECK")</f>
        <v/>
      </c>
    </row>
    <row r="188">
      <c r="A188" s="9" t="n">
        <v>25</v>
      </c>
      <c r="B188" s="9" t="n">
        <v>2</v>
      </c>
      <c r="C188" s="9" t="n">
        <v>23</v>
      </c>
      <c r="D188" s="9" t="n">
        <v>5</v>
      </c>
      <c r="E188" s="10">
        <f>COMBIN(A188,D188)/COMBIN(A188-B188,D188)</f>
        <v/>
      </c>
      <c r="F188" s="11">
        <f>ROUNDUP(E188*Controls!$B$4,4)</f>
        <v/>
      </c>
      <c r="G188" s="12">
        <f>F188/E188</f>
        <v/>
      </c>
      <c r="H188" s="10">
        <f>(A188-B188-(D188-1))/(A188-(D188-1))</f>
        <v/>
      </c>
      <c r="I188" s="9">
        <f>A188&amp;'x'&amp;B188</f>
        <v/>
      </c>
      <c r="J188" s="9">
        <f>IF(AND(G188&gt;0.9,G188&lt;1),"OK","CHECK")</f>
        <v/>
      </c>
    </row>
    <row r="189">
      <c r="A189" s="9" t="n">
        <v>25</v>
      </c>
      <c r="B189" s="9" t="n">
        <v>2</v>
      </c>
      <c r="C189" s="9" t="n">
        <v>23</v>
      </c>
      <c r="D189" s="9" t="n">
        <v>6</v>
      </c>
      <c r="E189" s="10">
        <f>COMBIN(A189,D189)/COMBIN(A189-B189,D189)</f>
        <v/>
      </c>
      <c r="F189" s="11">
        <f>ROUNDUP(E189*Controls!$B$4,4)</f>
        <v/>
      </c>
      <c r="G189" s="12">
        <f>F189/E189</f>
        <v/>
      </c>
      <c r="H189" s="10">
        <f>(A189-B189-(D189-1))/(A189-(D189-1))</f>
        <v/>
      </c>
      <c r="I189" s="9">
        <f>A189&amp;'x'&amp;B189</f>
        <v/>
      </c>
      <c r="J189" s="9">
        <f>IF(AND(G189&gt;0.9,G189&lt;1),"OK","CHECK")</f>
        <v/>
      </c>
    </row>
    <row r="190">
      <c r="A190" s="9" t="n">
        <v>25</v>
      </c>
      <c r="B190" s="9" t="n">
        <v>2</v>
      </c>
      <c r="C190" s="9" t="n">
        <v>23</v>
      </c>
      <c r="D190" s="9" t="n">
        <v>7</v>
      </c>
      <c r="E190" s="10">
        <f>COMBIN(A190,D190)/COMBIN(A190-B190,D190)</f>
        <v/>
      </c>
      <c r="F190" s="11">
        <f>ROUNDUP(E190*Controls!$B$4,4)</f>
        <v/>
      </c>
      <c r="G190" s="12">
        <f>F190/E190</f>
        <v/>
      </c>
      <c r="H190" s="10">
        <f>(A190-B190-(D190-1))/(A190-(D190-1))</f>
        <v/>
      </c>
      <c r="I190" s="9">
        <f>A190&amp;'x'&amp;B190</f>
        <v/>
      </c>
      <c r="J190" s="9">
        <f>IF(AND(G190&gt;0.9,G190&lt;1),"OK","CHECK")</f>
        <v/>
      </c>
    </row>
    <row r="191">
      <c r="A191" s="9" t="n">
        <v>25</v>
      </c>
      <c r="B191" s="9" t="n">
        <v>2</v>
      </c>
      <c r="C191" s="9" t="n">
        <v>23</v>
      </c>
      <c r="D191" s="9" t="n">
        <v>8</v>
      </c>
      <c r="E191" s="10">
        <f>COMBIN(A191,D191)/COMBIN(A191-B191,D191)</f>
        <v/>
      </c>
      <c r="F191" s="11">
        <f>ROUNDUP(E191*Controls!$B$4,4)</f>
        <v/>
      </c>
      <c r="G191" s="12">
        <f>F191/E191</f>
        <v/>
      </c>
      <c r="H191" s="10">
        <f>(A191-B191-(D191-1))/(A191-(D191-1))</f>
        <v/>
      </c>
      <c r="I191" s="9">
        <f>A191&amp;'x'&amp;B191</f>
        <v/>
      </c>
      <c r="J191" s="9">
        <f>IF(AND(G191&gt;0.9,G191&lt;1),"OK","CHECK")</f>
        <v/>
      </c>
    </row>
    <row r="192">
      <c r="A192" s="9" t="n">
        <v>25</v>
      </c>
      <c r="B192" s="9" t="n">
        <v>2</v>
      </c>
      <c r="C192" s="9" t="n">
        <v>23</v>
      </c>
      <c r="D192" s="9" t="n">
        <v>9</v>
      </c>
      <c r="E192" s="10">
        <f>COMBIN(A192,D192)/COMBIN(A192-B192,D192)</f>
        <v/>
      </c>
      <c r="F192" s="11">
        <f>ROUNDUP(E192*Controls!$B$4,4)</f>
        <v/>
      </c>
      <c r="G192" s="12">
        <f>F192/E192</f>
        <v/>
      </c>
      <c r="H192" s="10">
        <f>(A192-B192-(D192-1))/(A192-(D192-1))</f>
        <v/>
      </c>
      <c r="I192" s="9">
        <f>A192&amp;'x'&amp;B192</f>
        <v/>
      </c>
      <c r="J192" s="9">
        <f>IF(AND(G192&gt;0.9,G192&lt;1),"OK","CHECK")</f>
        <v/>
      </c>
    </row>
    <row r="193">
      <c r="A193" s="9" t="n">
        <v>25</v>
      </c>
      <c r="B193" s="9" t="n">
        <v>2</v>
      </c>
      <c r="C193" s="9" t="n">
        <v>23</v>
      </c>
      <c r="D193" s="9" t="n">
        <v>10</v>
      </c>
      <c r="E193" s="10">
        <f>COMBIN(A193,D193)/COMBIN(A193-B193,D193)</f>
        <v/>
      </c>
      <c r="F193" s="11">
        <f>ROUNDUP(E193*Controls!$B$4,4)</f>
        <v/>
      </c>
      <c r="G193" s="12">
        <f>F193/E193</f>
        <v/>
      </c>
      <c r="H193" s="10">
        <f>(A193-B193-(D193-1))/(A193-(D193-1))</f>
        <v/>
      </c>
      <c r="I193" s="9">
        <f>A193&amp;'x'&amp;B193</f>
        <v/>
      </c>
      <c r="J193" s="9">
        <f>IF(AND(G193&gt;0.9,G193&lt;1),"OK","CHECK")</f>
        <v/>
      </c>
    </row>
    <row r="194">
      <c r="A194" s="9" t="n">
        <v>25</v>
      </c>
      <c r="B194" s="9" t="n">
        <v>2</v>
      </c>
      <c r="C194" s="9" t="n">
        <v>23</v>
      </c>
      <c r="D194" s="9" t="n">
        <v>11</v>
      </c>
      <c r="E194" s="10">
        <f>COMBIN(A194,D194)/COMBIN(A194-B194,D194)</f>
        <v/>
      </c>
      <c r="F194" s="11">
        <f>ROUNDUP(E194*Controls!$B$4,4)</f>
        <v/>
      </c>
      <c r="G194" s="12">
        <f>F194/E194</f>
        <v/>
      </c>
      <c r="H194" s="10">
        <f>(A194-B194-(D194-1))/(A194-(D194-1))</f>
        <v/>
      </c>
      <c r="I194" s="9">
        <f>A194&amp;'x'&amp;B194</f>
        <v/>
      </c>
      <c r="J194" s="9">
        <f>IF(AND(G194&gt;0.9,G194&lt;1),"OK","CHECK")</f>
        <v/>
      </c>
    </row>
    <row r="195">
      <c r="A195" s="9" t="n">
        <v>25</v>
      </c>
      <c r="B195" s="9" t="n">
        <v>2</v>
      </c>
      <c r="C195" s="9" t="n">
        <v>23</v>
      </c>
      <c r="D195" s="9" t="n">
        <v>12</v>
      </c>
      <c r="E195" s="10">
        <f>COMBIN(A195,D195)/COMBIN(A195-B195,D195)</f>
        <v/>
      </c>
      <c r="F195" s="11">
        <f>ROUNDUP(E195*Controls!$B$4,4)</f>
        <v/>
      </c>
      <c r="G195" s="12">
        <f>F195/E195</f>
        <v/>
      </c>
      <c r="H195" s="10">
        <f>(A195-B195-(D195-1))/(A195-(D195-1))</f>
        <v/>
      </c>
      <c r="I195" s="9">
        <f>A195&amp;'x'&amp;B195</f>
        <v/>
      </c>
      <c r="J195" s="9">
        <f>IF(AND(G195&gt;0.9,G195&lt;1),"OK","CHECK")</f>
        <v/>
      </c>
    </row>
    <row r="196">
      <c r="A196" s="9" t="n">
        <v>25</v>
      </c>
      <c r="B196" s="9" t="n">
        <v>2</v>
      </c>
      <c r="C196" s="9" t="n">
        <v>23</v>
      </c>
      <c r="D196" s="9" t="n">
        <v>13</v>
      </c>
      <c r="E196" s="10">
        <f>COMBIN(A196,D196)/COMBIN(A196-B196,D196)</f>
        <v/>
      </c>
      <c r="F196" s="11">
        <f>ROUNDUP(E196*Controls!$B$4,4)</f>
        <v/>
      </c>
      <c r="G196" s="12">
        <f>F196/E196</f>
        <v/>
      </c>
      <c r="H196" s="10">
        <f>(A196-B196-(D196-1))/(A196-(D196-1))</f>
        <v/>
      </c>
      <c r="I196" s="9">
        <f>A196&amp;'x'&amp;B196</f>
        <v/>
      </c>
      <c r="J196" s="9">
        <f>IF(AND(G196&gt;0.9,G196&lt;1),"OK","CHECK")</f>
        <v/>
      </c>
    </row>
    <row r="197">
      <c r="A197" s="9" t="n">
        <v>25</v>
      </c>
      <c r="B197" s="9" t="n">
        <v>2</v>
      </c>
      <c r="C197" s="9" t="n">
        <v>23</v>
      </c>
      <c r="D197" s="9" t="n">
        <v>14</v>
      </c>
      <c r="E197" s="10">
        <f>COMBIN(A197,D197)/COMBIN(A197-B197,D197)</f>
        <v/>
      </c>
      <c r="F197" s="11">
        <f>ROUNDUP(E197*Controls!$B$4,4)</f>
        <v/>
      </c>
      <c r="G197" s="12">
        <f>F197/E197</f>
        <v/>
      </c>
      <c r="H197" s="10">
        <f>(A197-B197-(D197-1))/(A197-(D197-1))</f>
        <v/>
      </c>
      <c r="I197" s="9">
        <f>A197&amp;'x'&amp;B197</f>
        <v/>
      </c>
      <c r="J197" s="9">
        <f>IF(AND(G197&gt;0.9,G197&lt;1),"OK","CHECK")</f>
        <v/>
      </c>
    </row>
    <row r="198">
      <c r="A198" s="9" t="n">
        <v>25</v>
      </c>
      <c r="B198" s="9" t="n">
        <v>2</v>
      </c>
      <c r="C198" s="9" t="n">
        <v>23</v>
      </c>
      <c r="D198" s="9" t="n">
        <v>15</v>
      </c>
      <c r="E198" s="10">
        <f>COMBIN(A198,D198)/COMBIN(A198-B198,D198)</f>
        <v/>
      </c>
      <c r="F198" s="11">
        <f>ROUNDUP(E198*Controls!$B$4,4)</f>
        <v/>
      </c>
      <c r="G198" s="12">
        <f>F198/E198</f>
        <v/>
      </c>
      <c r="H198" s="10">
        <f>(A198-B198-(D198-1))/(A198-(D198-1))</f>
        <v/>
      </c>
      <c r="I198" s="9">
        <f>A198&amp;'x'&amp;B198</f>
        <v/>
      </c>
      <c r="J198" s="9">
        <f>IF(AND(G198&gt;0.9,G198&lt;1),"OK","CHECK")</f>
        <v/>
      </c>
    </row>
    <row r="199">
      <c r="A199" s="9" t="n">
        <v>25</v>
      </c>
      <c r="B199" s="9" t="n">
        <v>2</v>
      </c>
      <c r="C199" s="9" t="n">
        <v>23</v>
      </c>
      <c r="D199" s="9" t="n">
        <v>16</v>
      </c>
      <c r="E199" s="10">
        <f>COMBIN(A199,D199)/COMBIN(A199-B199,D199)</f>
        <v/>
      </c>
      <c r="F199" s="11">
        <f>ROUNDUP(E199*Controls!$B$4,4)</f>
        <v/>
      </c>
      <c r="G199" s="12">
        <f>F199/E199</f>
        <v/>
      </c>
      <c r="H199" s="10">
        <f>(A199-B199-(D199-1))/(A199-(D199-1))</f>
        <v/>
      </c>
      <c r="I199" s="9">
        <f>A199&amp;'x'&amp;B199</f>
        <v/>
      </c>
      <c r="J199" s="9">
        <f>IF(AND(G199&gt;0.9,G199&lt;1),"OK","CHECK")</f>
        <v/>
      </c>
    </row>
    <row r="200">
      <c r="A200" s="9" t="n">
        <v>25</v>
      </c>
      <c r="B200" s="9" t="n">
        <v>2</v>
      </c>
      <c r="C200" s="9" t="n">
        <v>23</v>
      </c>
      <c r="D200" s="9" t="n">
        <v>17</v>
      </c>
      <c r="E200" s="10">
        <f>COMBIN(A200,D200)/COMBIN(A200-B200,D200)</f>
        <v/>
      </c>
      <c r="F200" s="11">
        <f>ROUNDUP(E200*Controls!$B$4,4)</f>
        <v/>
      </c>
      <c r="G200" s="12">
        <f>F200/E200</f>
        <v/>
      </c>
      <c r="H200" s="10">
        <f>(A200-B200-(D200-1))/(A200-(D200-1))</f>
        <v/>
      </c>
      <c r="I200" s="9">
        <f>A200&amp;'x'&amp;B200</f>
        <v/>
      </c>
      <c r="J200" s="9">
        <f>IF(AND(G200&gt;0.9,G200&lt;1),"OK","CHECK")</f>
        <v/>
      </c>
    </row>
    <row r="201">
      <c r="A201" s="9" t="n">
        <v>25</v>
      </c>
      <c r="B201" s="9" t="n">
        <v>2</v>
      </c>
      <c r="C201" s="9" t="n">
        <v>23</v>
      </c>
      <c r="D201" s="9" t="n">
        <v>18</v>
      </c>
      <c r="E201" s="10">
        <f>COMBIN(A201,D201)/COMBIN(A201-B201,D201)</f>
        <v/>
      </c>
      <c r="F201" s="11">
        <f>ROUNDUP(E201*Controls!$B$4,4)</f>
        <v/>
      </c>
      <c r="G201" s="12">
        <f>F201/E201</f>
        <v/>
      </c>
      <c r="H201" s="10">
        <f>(A201-B201-(D201-1))/(A201-(D201-1))</f>
        <v/>
      </c>
      <c r="I201" s="9">
        <f>A201&amp;'x'&amp;B201</f>
        <v/>
      </c>
      <c r="J201" s="9">
        <f>IF(AND(G201&gt;0.9,G201&lt;1),"OK","CHECK")</f>
        <v/>
      </c>
    </row>
    <row r="202">
      <c r="A202" s="9" t="n">
        <v>25</v>
      </c>
      <c r="B202" s="9" t="n">
        <v>2</v>
      </c>
      <c r="C202" s="9" t="n">
        <v>23</v>
      </c>
      <c r="D202" s="9" t="n">
        <v>19</v>
      </c>
      <c r="E202" s="10">
        <f>COMBIN(A202,D202)/COMBIN(A202-B202,D202)</f>
        <v/>
      </c>
      <c r="F202" s="11">
        <f>ROUNDUP(E202*Controls!$B$4,4)</f>
        <v/>
      </c>
      <c r="G202" s="12">
        <f>F202/E202</f>
        <v/>
      </c>
      <c r="H202" s="10">
        <f>(A202-B202-(D202-1))/(A202-(D202-1))</f>
        <v/>
      </c>
      <c r="I202" s="9">
        <f>A202&amp;'x'&amp;B202</f>
        <v/>
      </c>
      <c r="J202" s="9">
        <f>IF(AND(G202&gt;0.9,G202&lt;1),"OK","CHECK")</f>
        <v/>
      </c>
    </row>
    <row r="203">
      <c r="A203" s="9" t="n">
        <v>25</v>
      </c>
      <c r="B203" s="9" t="n">
        <v>2</v>
      </c>
      <c r="C203" s="9" t="n">
        <v>23</v>
      </c>
      <c r="D203" s="9" t="n">
        <v>20</v>
      </c>
      <c r="E203" s="10">
        <f>COMBIN(A203,D203)/COMBIN(A203-B203,D203)</f>
        <v/>
      </c>
      <c r="F203" s="11">
        <f>ROUNDUP(E203*Controls!$B$4,4)</f>
        <v/>
      </c>
      <c r="G203" s="12">
        <f>F203/E203</f>
        <v/>
      </c>
      <c r="H203" s="10">
        <f>(A203-B203-(D203-1))/(A203-(D203-1))</f>
        <v/>
      </c>
      <c r="I203" s="9">
        <f>A203&amp;'x'&amp;B203</f>
        <v/>
      </c>
      <c r="J203" s="9">
        <f>IF(AND(G203&gt;0.9,G203&lt;1),"OK","CHECK")</f>
        <v/>
      </c>
    </row>
    <row r="204">
      <c r="A204" s="9" t="n">
        <v>25</v>
      </c>
      <c r="B204" s="9" t="n">
        <v>2</v>
      </c>
      <c r="C204" s="9" t="n">
        <v>23</v>
      </c>
      <c r="D204" s="9" t="n">
        <v>21</v>
      </c>
      <c r="E204" s="10">
        <f>COMBIN(A204,D204)/COMBIN(A204-B204,D204)</f>
        <v/>
      </c>
      <c r="F204" s="11">
        <f>ROUNDUP(E204*Controls!$B$4,4)</f>
        <v/>
      </c>
      <c r="G204" s="12">
        <f>F204/E204</f>
        <v/>
      </c>
      <c r="H204" s="10">
        <f>(A204-B204-(D204-1))/(A204-(D204-1))</f>
        <v/>
      </c>
      <c r="I204" s="9">
        <f>A204&amp;'x'&amp;B204</f>
        <v/>
      </c>
      <c r="J204" s="9">
        <f>IF(AND(G204&gt;0.9,G204&lt;1),"OK","CHECK")</f>
        <v/>
      </c>
    </row>
    <row r="205">
      <c r="A205" s="9" t="n">
        <v>25</v>
      </c>
      <c r="B205" s="9" t="n">
        <v>2</v>
      </c>
      <c r="C205" s="9" t="n">
        <v>23</v>
      </c>
      <c r="D205" s="9" t="n">
        <v>22</v>
      </c>
      <c r="E205" s="10">
        <f>COMBIN(A205,D205)/COMBIN(A205-B205,D205)</f>
        <v/>
      </c>
      <c r="F205" s="11">
        <f>ROUNDUP(E205*Controls!$B$4,4)</f>
        <v/>
      </c>
      <c r="G205" s="12">
        <f>F205/E205</f>
        <v/>
      </c>
      <c r="H205" s="10">
        <f>(A205-B205-(D205-1))/(A205-(D205-1))</f>
        <v/>
      </c>
      <c r="I205" s="9">
        <f>A205&amp;'x'&amp;B205</f>
        <v/>
      </c>
      <c r="J205" s="9">
        <f>IF(AND(G205&gt;0.9,G205&lt;1),"OK","CHECK")</f>
        <v/>
      </c>
    </row>
    <row r="206">
      <c r="A206" s="9" t="n">
        <v>25</v>
      </c>
      <c r="B206" s="9" t="n">
        <v>2</v>
      </c>
      <c r="C206" s="9" t="n">
        <v>23</v>
      </c>
      <c r="D206" s="9" t="n">
        <v>23</v>
      </c>
      <c r="E206" s="10">
        <f>COMBIN(A206,D206)/COMBIN(A206-B206,D206)</f>
        <v/>
      </c>
      <c r="F206" s="11">
        <f>ROUNDUP(E206*Controls!$B$4,4)</f>
        <v/>
      </c>
      <c r="G206" s="12">
        <f>F206/E206</f>
        <v/>
      </c>
      <c r="H206" s="10">
        <f>(A206-B206-(D206-1))/(A206-(D206-1))</f>
        <v/>
      </c>
      <c r="I206" s="9">
        <f>A206&amp;'x'&amp;B206</f>
        <v/>
      </c>
      <c r="J206" s="9">
        <f>IF(AND(G206&gt;0.9,G206&lt;1),"OK","CHECK")</f>
        <v/>
      </c>
    </row>
    <row r="207">
      <c r="A207" s="9" t="n">
        <v>25</v>
      </c>
      <c r="B207" s="9" t="n">
        <v>3</v>
      </c>
      <c r="C207" s="9" t="n">
        <v>22</v>
      </c>
      <c r="D207" s="9" t="n">
        <v>1</v>
      </c>
      <c r="E207" s="10">
        <f>COMBIN(A207,D207)/COMBIN(A207-B207,D207)</f>
        <v/>
      </c>
      <c r="F207" s="11">
        <f>ROUNDUP(E207*Controls!$B$4,4)</f>
        <v/>
      </c>
      <c r="G207" s="12">
        <f>F207/E207</f>
        <v/>
      </c>
      <c r="H207" s="10">
        <f>(A207-B207-(D207-1))/(A207-(D207-1))</f>
        <v/>
      </c>
      <c r="I207" s="9">
        <f>A207&amp;'x'&amp;B207</f>
        <v/>
      </c>
      <c r="J207" s="9">
        <f>IF(AND(G207&gt;0.9,G207&lt;1),"OK","CHECK")</f>
        <v/>
      </c>
    </row>
    <row r="208">
      <c r="A208" s="9" t="n">
        <v>25</v>
      </c>
      <c r="B208" s="9" t="n">
        <v>3</v>
      </c>
      <c r="C208" s="9" t="n">
        <v>22</v>
      </c>
      <c r="D208" s="9" t="n">
        <v>2</v>
      </c>
      <c r="E208" s="10">
        <f>COMBIN(A208,D208)/COMBIN(A208-B208,D208)</f>
        <v/>
      </c>
      <c r="F208" s="11">
        <f>ROUNDUP(E208*Controls!$B$4,4)</f>
        <v/>
      </c>
      <c r="G208" s="12">
        <f>F208/E208</f>
        <v/>
      </c>
      <c r="H208" s="10">
        <f>(A208-B208-(D208-1))/(A208-(D208-1))</f>
        <v/>
      </c>
      <c r="I208" s="9">
        <f>A208&amp;'x'&amp;B208</f>
        <v/>
      </c>
      <c r="J208" s="9">
        <f>IF(AND(G208&gt;0.9,G208&lt;1),"OK","CHECK")</f>
        <v/>
      </c>
    </row>
    <row r="209">
      <c r="A209" s="9" t="n">
        <v>25</v>
      </c>
      <c r="B209" s="9" t="n">
        <v>3</v>
      </c>
      <c r="C209" s="9" t="n">
        <v>22</v>
      </c>
      <c r="D209" s="9" t="n">
        <v>3</v>
      </c>
      <c r="E209" s="10">
        <f>COMBIN(A209,D209)/COMBIN(A209-B209,D209)</f>
        <v/>
      </c>
      <c r="F209" s="11">
        <f>ROUNDUP(E209*Controls!$B$4,4)</f>
        <v/>
      </c>
      <c r="G209" s="12">
        <f>F209/E209</f>
        <v/>
      </c>
      <c r="H209" s="10">
        <f>(A209-B209-(D209-1))/(A209-(D209-1))</f>
        <v/>
      </c>
      <c r="I209" s="9">
        <f>A209&amp;'x'&amp;B209</f>
        <v/>
      </c>
      <c r="J209" s="9">
        <f>IF(AND(G209&gt;0.9,G209&lt;1),"OK","CHECK")</f>
        <v/>
      </c>
    </row>
    <row r="210">
      <c r="A210" s="9" t="n">
        <v>25</v>
      </c>
      <c r="B210" s="9" t="n">
        <v>3</v>
      </c>
      <c r="C210" s="9" t="n">
        <v>22</v>
      </c>
      <c r="D210" s="9" t="n">
        <v>4</v>
      </c>
      <c r="E210" s="10">
        <f>COMBIN(A210,D210)/COMBIN(A210-B210,D210)</f>
        <v/>
      </c>
      <c r="F210" s="11">
        <f>ROUNDUP(E210*Controls!$B$4,4)</f>
        <v/>
      </c>
      <c r="G210" s="12">
        <f>F210/E210</f>
        <v/>
      </c>
      <c r="H210" s="10">
        <f>(A210-B210-(D210-1))/(A210-(D210-1))</f>
        <v/>
      </c>
      <c r="I210" s="9">
        <f>A210&amp;'x'&amp;B210</f>
        <v/>
      </c>
      <c r="J210" s="9">
        <f>IF(AND(G210&gt;0.9,G210&lt;1),"OK","CHECK")</f>
        <v/>
      </c>
    </row>
    <row r="211">
      <c r="A211" s="9" t="n">
        <v>25</v>
      </c>
      <c r="B211" s="9" t="n">
        <v>3</v>
      </c>
      <c r="C211" s="9" t="n">
        <v>22</v>
      </c>
      <c r="D211" s="9" t="n">
        <v>5</v>
      </c>
      <c r="E211" s="10">
        <f>COMBIN(A211,D211)/COMBIN(A211-B211,D211)</f>
        <v/>
      </c>
      <c r="F211" s="11">
        <f>ROUNDUP(E211*Controls!$B$4,4)</f>
        <v/>
      </c>
      <c r="G211" s="12">
        <f>F211/E211</f>
        <v/>
      </c>
      <c r="H211" s="10">
        <f>(A211-B211-(D211-1))/(A211-(D211-1))</f>
        <v/>
      </c>
      <c r="I211" s="9">
        <f>A211&amp;'x'&amp;B211</f>
        <v/>
      </c>
      <c r="J211" s="9">
        <f>IF(AND(G211&gt;0.9,G211&lt;1),"OK","CHECK")</f>
        <v/>
      </c>
    </row>
    <row r="212">
      <c r="A212" s="9" t="n">
        <v>25</v>
      </c>
      <c r="B212" s="9" t="n">
        <v>3</v>
      </c>
      <c r="C212" s="9" t="n">
        <v>22</v>
      </c>
      <c r="D212" s="9" t="n">
        <v>6</v>
      </c>
      <c r="E212" s="10">
        <f>COMBIN(A212,D212)/COMBIN(A212-B212,D212)</f>
        <v/>
      </c>
      <c r="F212" s="11">
        <f>ROUNDUP(E212*Controls!$B$4,4)</f>
        <v/>
      </c>
      <c r="G212" s="12">
        <f>F212/E212</f>
        <v/>
      </c>
      <c r="H212" s="10">
        <f>(A212-B212-(D212-1))/(A212-(D212-1))</f>
        <v/>
      </c>
      <c r="I212" s="9">
        <f>A212&amp;'x'&amp;B212</f>
        <v/>
      </c>
      <c r="J212" s="9">
        <f>IF(AND(G212&gt;0.9,G212&lt;1),"OK","CHECK")</f>
        <v/>
      </c>
    </row>
    <row r="213">
      <c r="A213" s="9" t="n">
        <v>25</v>
      </c>
      <c r="B213" s="9" t="n">
        <v>3</v>
      </c>
      <c r="C213" s="9" t="n">
        <v>22</v>
      </c>
      <c r="D213" s="9" t="n">
        <v>7</v>
      </c>
      <c r="E213" s="10">
        <f>COMBIN(A213,D213)/COMBIN(A213-B213,D213)</f>
        <v/>
      </c>
      <c r="F213" s="11">
        <f>ROUNDUP(E213*Controls!$B$4,4)</f>
        <v/>
      </c>
      <c r="G213" s="12">
        <f>F213/E213</f>
        <v/>
      </c>
      <c r="H213" s="10">
        <f>(A213-B213-(D213-1))/(A213-(D213-1))</f>
        <v/>
      </c>
      <c r="I213" s="9">
        <f>A213&amp;'x'&amp;B213</f>
        <v/>
      </c>
      <c r="J213" s="9">
        <f>IF(AND(G213&gt;0.9,G213&lt;1),"OK","CHECK")</f>
        <v/>
      </c>
    </row>
    <row r="214">
      <c r="A214" s="9" t="n">
        <v>25</v>
      </c>
      <c r="B214" s="9" t="n">
        <v>3</v>
      </c>
      <c r="C214" s="9" t="n">
        <v>22</v>
      </c>
      <c r="D214" s="9" t="n">
        <v>8</v>
      </c>
      <c r="E214" s="10">
        <f>COMBIN(A214,D214)/COMBIN(A214-B214,D214)</f>
        <v/>
      </c>
      <c r="F214" s="11">
        <f>ROUNDUP(E214*Controls!$B$4,4)</f>
        <v/>
      </c>
      <c r="G214" s="12">
        <f>F214/E214</f>
        <v/>
      </c>
      <c r="H214" s="10">
        <f>(A214-B214-(D214-1))/(A214-(D214-1))</f>
        <v/>
      </c>
      <c r="I214" s="9">
        <f>A214&amp;'x'&amp;B214</f>
        <v/>
      </c>
      <c r="J214" s="9">
        <f>IF(AND(G214&gt;0.9,G214&lt;1),"OK","CHECK")</f>
        <v/>
      </c>
    </row>
    <row r="215">
      <c r="A215" s="9" t="n">
        <v>25</v>
      </c>
      <c r="B215" s="9" t="n">
        <v>3</v>
      </c>
      <c r="C215" s="9" t="n">
        <v>22</v>
      </c>
      <c r="D215" s="9" t="n">
        <v>9</v>
      </c>
      <c r="E215" s="10">
        <f>COMBIN(A215,D215)/COMBIN(A215-B215,D215)</f>
        <v/>
      </c>
      <c r="F215" s="11">
        <f>ROUNDUP(E215*Controls!$B$4,4)</f>
        <v/>
      </c>
      <c r="G215" s="12">
        <f>F215/E215</f>
        <v/>
      </c>
      <c r="H215" s="10">
        <f>(A215-B215-(D215-1))/(A215-(D215-1))</f>
        <v/>
      </c>
      <c r="I215" s="9">
        <f>A215&amp;'x'&amp;B215</f>
        <v/>
      </c>
      <c r="J215" s="9">
        <f>IF(AND(G215&gt;0.9,G215&lt;1),"OK","CHECK")</f>
        <v/>
      </c>
    </row>
    <row r="216">
      <c r="A216" s="9" t="n">
        <v>25</v>
      </c>
      <c r="B216" s="9" t="n">
        <v>3</v>
      </c>
      <c r="C216" s="9" t="n">
        <v>22</v>
      </c>
      <c r="D216" s="9" t="n">
        <v>10</v>
      </c>
      <c r="E216" s="10">
        <f>COMBIN(A216,D216)/COMBIN(A216-B216,D216)</f>
        <v/>
      </c>
      <c r="F216" s="11">
        <f>ROUNDUP(E216*Controls!$B$4,4)</f>
        <v/>
      </c>
      <c r="G216" s="12">
        <f>F216/E216</f>
        <v/>
      </c>
      <c r="H216" s="10">
        <f>(A216-B216-(D216-1))/(A216-(D216-1))</f>
        <v/>
      </c>
      <c r="I216" s="9">
        <f>A216&amp;'x'&amp;B216</f>
        <v/>
      </c>
      <c r="J216" s="9">
        <f>IF(AND(G216&gt;0.9,G216&lt;1),"OK","CHECK")</f>
        <v/>
      </c>
    </row>
    <row r="217">
      <c r="A217" s="9" t="n">
        <v>25</v>
      </c>
      <c r="B217" s="9" t="n">
        <v>3</v>
      </c>
      <c r="C217" s="9" t="n">
        <v>22</v>
      </c>
      <c r="D217" s="9" t="n">
        <v>11</v>
      </c>
      <c r="E217" s="10">
        <f>COMBIN(A217,D217)/COMBIN(A217-B217,D217)</f>
        <v/>
      </c>
      <c r="F217" s="11">
        <f>ROUNDUP(E217*Controls!$B$4,4)</f>
        <v/>
      </c>
      <c r="G217" s="12">
        <f>F217/E217</f>
        <v/>
      </c>
      <c r="H217" s="10">
        <f>(A217-B217-(D217-1))/(A217-(D217-1))</f>
        <v/>
      </c>
      <c r="I217" s="9">
        <f>A217&amp;'x'&amp;B217</f>
        <v/>
      </c>
      <c r="J217" s="9">
        <f>IF(AND(G217&gt;0.9,G217&lt;1),"OK","CHECK")</f>
        <v/>
      </c>
    </row>
    <row r="218">
      <c r="A218" s="9" t="n">
        <v>25</v>
      </c>
      <c r="B218" s="9" t="n">
        <v>3</v>
      </c>
      <c r="C218" s="9" t="n">
        <v>22</v>
      </c>
      <c r="D218" s="9" t="n">
        <v>12</v>
      </c>
      <c r="E218" s="10">
        <f>COMBIN(A218,D218)/COMBIN(A218-B218,D218)</f>
        <v/>
      </c>
      <c r="F218" s="11">
        <f>ROUNDUP(E218*Controls!$B$4,4)</f>
        <v/>
      </c>
      <c r="G218" s="12">
        <f>F218/E218</f>
        <v/>
      </c>
      <c r="H218" s="10">
        <f>(A218-B218-(D218-1))/(A218-(D218-1))</f>
        <v/>
      </c>
      <c r="I218" s="9">
        <f>A218&amp;'x'&amp;B218</f>
        <v/>
      </c>
      <c r="J218" s="9">
        <f>IF(AND(G218&gt;0.9,G218&lt;1),"OK","CHECK")</f>
        <v/>
      </c>
    </row>
    <row r="219">
      <c r="A219" s="9" t="n">
        <v>25</v>
      </c>
      <c r="B219" s="9" t="n">
        <v>3</v>
      </c>
      <c r="C219" s="9" t="n">
        <v>22</v>
      </c>
      <c r="D219" s="9" t="n">
        <v>13</v>
      </c>
      <c r="E219" s="10">
        <f>COMBIN(A219,D219)/COMBIN(A219-B219,D219)</f>
        <v/>
      </c>
      <c r="F219" s="11">
        <f>ROUNDUP(E219*Controls!$B$4,4)</f>
        <v/>
      </c>
      <c r="G219" s="12">
        <f>F219/E219</f>
        <v/>
      </c>
      <c r="H219" s="10">
        <f>(A219-B219-(D219-1))/(A219-(D219-1))</f>
        <v/>
      </c>
      <c r="I219" s="9">
        <f>A219&amp;'x'&amp;B219</f>
        <v/>
      </c>
      <c r="J219" s="9">
        <f>IF(AND(G219&gt;0.9,G219&lt;1),"OK","CHECK")</f>
        <v/>
      </c>
    </row>
    <row r="220">
      <c r="A220" s="9" t="n">
        <v>25</v>
      </c>
      <c r="B220" s="9" t="n">
        <v>3</v>
      </c>
      <c r="C220" s="9" t="n">
        <v>22</v>
      </c>
      <c r="D220" s="9" t="n">
        <v>14</v>
      </c>
      <c r="E220" s="10">
        <f>COMBIN(A220,D220)/COMBIN(A220-B220,D220)</f>
        <v/>
      </c>
      <c r="F220" s="11">
        <f>ROUNDUP(E220*Controls!$B$4,4)</f>
        <v/>
      </c>
      <c r="G220" s="12">
        <f>F220/E220</f>
        <v/>
      </c>
      <c r="H220" s="10">
        <f>(A220-B220-(D220-1))/(A220-(D220-1))</f>
        <v/>
      </c>
      <c r="I220" s="9">
        <f>A220&amp;'x'&amp;B220</f>
        <v/>
      </c>
      <c r="J220" s="9">
        <f>IF(AND(G220&gt;0.9,G220&lt;1),"OK","CHECK")</f>
        <v/>
      </c>
    </row>
    <row r="221">
      <c r="A221" s="9" t="n">
        <v>25</v>
      </c>
      <c r="B221" s="9" t="n">
        <v>3</v>
      </c>
      <c r="C221" s="9" t="n">
        <v>22</v>
      </c>
      <c r="D221" s="9" t="n">
        <v>15</v>
      </c>
      <c r="E221" s="10">
        <f>COMBIN(A221,D221)/COMBIN(A221-B221,D221)</f>
        <v/>
      </c>
      <c r="F221" s="11">
        <f>ROUNDUP(E221*Controls!$B$4,4)</f>
        <v/>
      </c>
      <c r="G221" s="12">
        <f>F221/E221</f>
        <v/>
      </c>
      <c r="H221" s="10">
        <f>(A221-B221-(D221-1))/(A221-(D221-1))</f>
        <v/>
      </c>
      <c r="I221" s="9">
        <f>A221&amp;'x'&amp;B221</f>
        <v/>
      </c>
      <c r="J221" s="9">
        <f>IF(AND(G221&gt;0.9,G221&lt;1),"OK","CHECK")</f>
        <v/>
      </c>
    </row>
    <row r="222">
      <c r="A222" s="9" t="n">
        <v>25</v>
      </c>
      <c r="B222" s="9" t="n">
        <v>3</v>
      </c>
      <c r="C222" s="9" t="n">
        <v>22</v>
      </c>
      <c r="D222" s="9" t="n">
        <v>16</v>
      </c>
      <c r="E222" s="10">
        <f>COMBIN(A222,D222)/COMBIN(A222-B222,D222)</f>
        <v/>
      </c>
      <c r="F222" s="11">
        <f>ROUNDUP(E222*Controls!$B$4,4)</f>
        <v/>
      </c>
      <c r="G222" s="12">
        <f>F222/E222</f>
        <v/>
      </c>
      <c r="H222" s="10">
        <f>(A222-B222-(D222-1))/(A222-(D222-1))</f>
        <v/>
      </c>
      <c r="I222" s="9">
        <f>A222&amp;'x'&amp;B222</f>
        <v/>
      </c>
      <c r="J222" s="9">
        <f>IF(AND(G222&gt;0.9,G222&lt;1),"OK","CHECK")</f>
        <v/>
      </c>
    </row>
    <row r="223">
      <c r="A223" s="9" t="n">
        <v>25</v>
      </c>
      <c r="B223" s="9" t="n">
        <v>3</v>
      </c>
      <c r="C223" s="9" t="n">
        <v>22</v>
      </c>
      <c r="D223" s="9" t="n">
        <v>17</v>
      </c>
      <c r="E223" s="10">
        <f>COMBIN(A223,D223)/COMBIN(A223-B223,D223)</f>
        <v/>
      </c>
      <c r="F223" s="11">
        <f>ROUNDUP(E223*Controls!$B$4,4)</f>
        <v/>
      </c>
      <c r="G223" s="12">
        <f>F223/E223</f>
        <v/>
      </c>
      <c r="H223" s="10">
        <f>(A223-B223-(D223-1))/(A223-(D223-1))</f>
        <v/>
      </c>
      <c r="I223" s="9">
        <f>A223&amp;'x'&amp;B223</f>
        <v/>
      </c>
      <c r="J223" s="9">
        <f>IF(AND(G223&gt;0.9,G223&lt;1),"OK","CHECK")</f>
        <v/>
      </c>
    </row>
    <row r="224">
      <c r="A224" s="9" t="n">
        <v>25</v>
      </c>
      <c r="B224" s="9" t="n">
        <v>3</v>
      </c>
      <c r="C224" s="9" t="n">
        <v>22</v>
      </c>
      <c r="D224" s="9" t="n">
        <v>18</v>
      </c>
      <c r="E224" s="10">
        <f>COMBIN(A224,D224)/COMBIN(A224-B224,D224)</f>
        <v/>
      </c>
      <c r="F224" s="11">
        <f>ROUNDUP(E224*Controls!$B$4,4)</f>
        <v/>
      </c>
      <c r="G224" s="12">
        <f>F224/E224</f>
        <v/>
      </c>
      <c r="H224" s="10">
        <f>(A224-B224-(D224-1))/(A224-(D224-1))</f>
        <v/>
      </c>
      <c r="I224" s="9">
        <f>A224&amp;'x'&amp;B224</f>
        <v/>
      </c>
      <c r="J224" s="9">
        <f>IF(AND(G224&gt;0.9,G224&lt;1),"OK","CHECK")</f>
        <v/>
      </c>
    </row>
    <row r="225">
      <c r="A225" s="9" t="n">
        <v>25</v>
      </c>
      <c r="B225" s="9" t="n">
        <v>3</v>
      </c>
      <c r="C225" s="9" t="n">
        <v>22</v>
      </c>
      <c r="D225" s="9" t="n">
        <v>19</v>
      </c>
      <c r="E225" s="10">
        <f>COMBIN(A225,D225)/COMBIN(A225-B225,D225)</f>
        <v/>
      </c>
      <c r="F225" s="11">
        <f>ROUNDUP(E225*Controls!$B$4,4)</f>
        <v/>
      </c>
      <c r="G225" s="12">
        <f>F225/E225</f>
        <v/>
      </c>
      <c r="H225" s="10">
        <f>(A225-B225-(D225-1))/(A225-(D225-1))</f>
        <v/>
      </c>
      <c r="I225" s="9">
        <f>A225&amp;'x'&amp;B225</f>
        <v/>
      </c>
      <c r="J225" s="9">
        <f>IF(AND(G225&gt;0.9,G225&lt;1),"OK","CHECK")</f>
        <v/>
      </c>
    </row>
    <row r="226">
      <c r="A226" s="9" t="n">
        <v>25</v>
      </c>
      <c r="B226" s="9" t="n">
        <v>3</v>
      </c>
      <c r="C226" s="9" t="n">
        <v>22</v>
      </c>
      <c r="D226" s="9" t="n">
        <v>20</v>
      </c>
      <c r="E226" s="10">
        <f>COMBIN(A226,D226)/COMBIN(A226-B226,D226)</f>
        <v/>
      </c>
      <c r="F226" s="11">
        <f>ROUNDUP(E226*Controls!$B$4,4)</f>
        <v/>
      </c>
      <c r="G226" s="12">
        <f>F226/E226</f>
        <v/>
      </c>
      <c r="H226" s="10">
        <f>(A226-B226-(D226-1))/(A226-(D226-1))</f>
        <v/>
      </c>
      <c r="I226" s="9">
        <f>A226&amp;'x'&amp;B226</f>
        <v/>
      </c>
      <c r="J226" s="9">
        <f>IF(AND(G226&gt;0.9,G226&lt;1),"OK","CHECK")</f>
        <v/>
      </c>
    </row>
    <row r="227">
      <c r="A227" s="9" t="n">
        <v>25</v>
      </c>
      <c r="B227" s="9" t="n">
        <v>3</v>
      </c>
      <c r="C227" s="9" t="n">
        <v>22</v>
      </c>
      <c r="D227" s="9" t="n">
        <v>21</v>
      </c>
      <c r="E227" s="10">
        <f>COMBIN(A227,D227)/COMBIN(A227-B227,D227)</f>
        <v/>
      </c>
      <c r="F227" s="11">
        <f>ROUNDUP(E227*Controls!$B$4,4)</f>
        <v/>
      </c>
      <c r="G227" s="12">
        <f>F227/E227</f>
        <v/>
      </c>
      <c r="H227" s="10">
        <f>(A227-B227-(D227-1))/(A227-(D227-1))</f>
        <v/>
      </c>
      <c r="I227" s="9">
        <f>A227&amp;'x'&amp;B227</f>
        <v/>
      </c>
      <c r="J227" s="9">
        <f>IF(AND(G227&gt;0.9,G227&lt;1),"OK","CHECK")</f>
        <v/>
      </c>
    </row>
    <row r="228">
      <c r="A228" s="9" t="n">
        <v>25</v>
      </c>
      <c r="B228" s="9" t="n">
        <v>3</v>
      </c>
      <c r="C228" s="9" t="n">
        <v>22</v>
      </c>
      <c r="D228" s="9" t="n">
        <v>22</v>
      </c>
      <c r="E228" s="10">
        <f>COMBIN(A228,D228)/COMBIN(A228-B228,D228)</f>
        <v/>
      </c>
      <c r="F228" s="11">
        <f>ROUNDUP(E228*Controls!$B$4,4)</f>
        <v/>
      </c>
      <c r="G228" s="12">
        <f>F228/E228</f>
        <v/>
      </c>
      <c r="H228" s="10">
        <f>(A228-B228-(D228-1))/(A228-(D228-1))</f>
        <v/>
      </c>
      <c r="I228" s="9">
        <f>A228&amp;'x'&amp;B228</f>
        <v/>
      </c>
      <c r="J228" s="9">
        <f>IF(AND(G228&gt;0.9,G228&lt;1),"OK","CHECK")</f>
        <v/>
      </c>
    </row>
    <row r="229">
      <c r="A229" s="9" t="n">
        <v>25</v>
      </c>
      <c r="B229" s="9" t="n">
        <v>4</v>
      </c>
      <c r="C229" s="9" t="n">
        <v>21</v>
      </c>
      <c r="D229" s="9" t="n">
        <v>1</v>
      </c>
      <c r="E229" s="10">
        <f>COMBIN(A229,D229)/COMBIN(A229-B229,D229)</f>
        <v/>
      </c>
      <c r="F229" s="11">
        <f>ROUNDUP(E229*Controls!$B$4,4)</f>
        <v/>
      </c>
      <c r="G229" s="12">
        <f>F229/E229</f>
        <v/>
      </c>
      <c r="H229" s="10">
        <f>(A229-B229-(D229-1))/(A229-(D229-1))</f>
        <v/>
      </c>
      <c r="I229" s="9">
        <f>A229&amp;'x'&amp;B229</f>
        <v/>
      </c>
      <c r="J229" s="9">
        <f>IF(AND(G229&gt;0.9,G229&lt;1),"OK","CHECK")</f>
        <v/>
      </c>
    </row>
    <row r="230">
      <c r="A230" s="9" t="n">
        <v>25</v>
      </c>
      <c r="B230" s="9" t="n">
        <v>4</v>
      </c>
      <c r="C230" s="9" t="n">
        <v>21</v>
      </c>
      <c r="D230" s="9" t="n">
        <v>2</v>
      </c>
      <c r="E230" s="10">
        <f>COMBIN(A230,D230)/COMBIN(A230-B230,D230)</f>
        <v/>
      </c>
      <c r="F230" s="11">
        <f>ROUNDUP(E230*Controls!$B$4,4)</f>
        <v/>
      </c>
      <c r="G230" s="12">
        <f>F230/E230</f>
        <v/>
      </c>
      <c r="H230" s="10">
        <f>(A230-B230-(D230-1))/(A230-(D230-1))</f>
        <v/>
      </c>
      <c r="I230" s="9">
        <f>A230&amp;'x'&amp;B230</f>
        <v/>
      </c>
      <c r="J230" s="9">
        <f>IF(AND(G230&gt;0.9,G230&lt;1),"OK","CHECK")</f>
        <v/>
      </c>
    </row>
    <row r="231">
      <c r="A231" s="9" t="n">
        <v>25</v>
      </c>
      <c r="B231" s="9" t="n">
        <v>4</v>
      </c>
      <c r="C231" s="9" t="n">
        <v>21</v>
      </c>
      <c r="D231" s="9" t="n">
        <v>3</v>
      </c>
      <c r="E231" s="10">
        <f>COMBIN(A231,D231)/COMBIN(A231-B231,D231)</f>
        <v/>
      </c>
      <c r="F231" s="11">
        <f>ROUNDUP(E231*Controls!$B$4,4)</f>
        <v/>
      </c>
      <c r="G231" s="12">
        <f>F231/E231</f>
        <v/>
      </c>
      <c r="H231" s="10">
        <f>(A231-B231-(D231-1))/(A231-(D231-1))</f>
        <v/>
      </c>
      <c r="I231" s="9">
        <f>A231&amp;'x'&amp;B231</f>
        <v/>
      </c>
      <c r="J231" s="9">
        <f>IF(AND(G231&gt;0.9,G231&lt;1),"OK","CHECK")</f>
        <v/>
      </c>
    </row>
    <row r="232">
      <c r="A232" s="9" t="n">
        <v>25</v>
      </c>
      <c r="B232" s="9" t="n">
        <v>4</v>
      </c>
      <c r="C232" s="9" t="n">
        <v>21</v>
      </c>
      <c r="D232" s="9" t="n">
        <v>4</v>
      </c>
      <c r="E232" s="10">
        <f>COMBIN(A232,D232)/COMBIN(A232-B232,D232)</f>
        <v/>
      </c>
      <c r="F232" s="11">
        <f>ROUNDUP(E232*Controls!$B$4,4)</f>
        <v/>
      </c>
      <c r="G232" s="12">
        <f>F232/E232</f>
        <v/>
      </c>
      <c r="H232" s="10">
        <f>(A232-B232-(D232-1))/(A232-(D232-1))</f>
        <v/>
      </c>
      <c r="I232" s="9">
        <f>A232&amp;'x'&amp;B232</f>
        <v/>
      </c>
      <c r="J232" s="9">
        <f>IF(AND(G232&gt;0.9,G232&lt;1),"OK","CHECK")</f>
        <v/>
      </c>
    </row>
    <row r="233">
      <c r="A233" s="9" t="n">
        <v>25</v>
      </c>
      <c r="B233" s="9" t="n">
        <v>4</v>
      </c>
      <c r="C233" s="9" t="n">
        <v>21</v>
      </c>
      <c r="D233" s="9" t="n">
        <v>5</v>
      </c>
      <c r="E233" s="10">
        <f>COMBIN(A233,D233)/COMBIN(A233-B233,D233)</f>
        <v/>
      </c>
      <c r="F233" s="11">
        <f>ROUNDUP(E233*Controls!$B$4,4)</f>
        <v/>
      </c>
      <c r="G233" s="12">
        <f>F233/E233</f>
        <v/>
      </c>
      <c r="H233" s="10">
        <f>(A233-B233-(D233-1))/(A233-(D233-1))</f>
        <v/>
      </c>
      <c r="I233" s="9">
        <f>A233&amp;'x'&amp;B233</f>
        <v/>
      </c>
      <c r="J233" s="9">
        <f>IF(AND(G233&gt;0.9,G233&lt;1),"OK","CHECK")</f>
        <v/>
      </c>
    </row>
    <row r="234">
      <c r="A234" s="9" t="n">
        <v>25</v>
      </c>
      <c r="B234" s="9" t="n">
        <v>4</v>
      </c>
      <c r="C234" s="9" t="n">
        <v>21</v>
      </c>
      <c r="D234" s="9" t="n">
        <v>6</v>
      </c>
      <c r="E234" s="10">
        <f>COMBIN(A234,D234)/COMBIN(A234-B234,D234)</f>
        <v/>
      </c>
      <c r="F234" s="11">
        <f>ROUNDUP(E234*Controls!$B$4,4)</f>
        <v/>
      </c>
      <c r="G234" s="12">
        <f>F234/E234</f>
        <v/>
      </c>
      <c r="H234" s="10">
        <f>(A234-B234-(D234-1))/(A234-(D234-1))</f>
        <v/>
      </c>
      <c r="I234" s="9">
        <f>A234&amp;'x'&amp;B234</f>
        <v/>
      </c>
      <c r="J234" s="9">
        <f>IF(AND(G234&gt;0.9,G234&lt;1),"OK","CHECK")</f>
        <v/>
      </c>
    </row>
    <row r="235">
      <c r="A235" s="9" t="n">
        <v>25</v>
      </c>
      <c r="B235" s="9" t="n">
        <v>4</v>
      </c>
      <c r="C235" s="9" t="n">
        <v>21</v>
      </c>
      <c r="D235" s="9" t="n">
        <v>7</v>
      </c>
      <c r="E235" s="10">
        <f>COMBIN(A235,D235)/COMBIN(A235-B235,D235)</f>
        <v/>
      </c>
      <c r="F235" s="11">
        <f>ROUNDUP(E235*Controls!$B$4,4)</f>
        <v/>
      </c>
      <c r="G235" s="12">
        <f>F235/E235</f>
        <v/>
      </c>
      <c r="H235" s="10">
        <f>(A235-B235-(D235-1))/(A235-(D235-1))</f>
        <v/>
      </c>
      <c r="I235" s="9">
        <f>A235&amp;'x'&amp;B235</f>
        <v/>
      </c>
      <c r="J235" s="9">
        <f>IF(AND(G235&gt;0.9,G235&lt;1),"OK","CHECK")</f>
        <v/>
      </c>
    </row>
    <row r="236">
      <c r="A236" s="9" t="n">
        <v>25</v>
      </c>
      <c r="B236" s="9" t="n">
        <v>4</v>
      </c>
      <c r="C236" s="9" t="n">
        <v>21</v>
      </c>
      <c r="D236" s="9" t="n">
        <v>8</v>
      </c>
      <c r="E236" s="10">
        <f>COMBIN(A236,D236)/COMBIN(A236-B236,D236)</f>
        <v/>
      </c>
      <c r="F236" s="11">
        <f>ROUNDUP(E236*Controls!$B$4,4)</f>
        <v/>
      </c>
      <c r="G236" s="12">
        <f>F236/E236</f>
        <v/>
      </c>
      <c r="H236" s="10">
        <f>(A236-B236-(D236-1))/(A236-(D236-1))</f>
        <v/>
      </c>
      <c r="I236" s="9">
        <f>A236&amp;'x'&amp;B236</f>
        <v/>
      </c>
      <c r="J236" s="9">
        <f>IF(AND(G236&gt;0.9,G236&lt;1),"OK","CHECK")</f>
        <v/>
      </c>
    </row>
    <row r="237">
      <c r="A237" s="9" t="n">
        <v>25</v>
      </c>
      <c r="B237" s="9" t="n">
        <v>4</v>
      </c>
      <c r="C237" s="9" t="n">
        <v>21</v>
      </c>
      <c r="D237" s="9" t="n">
        <v>9</v>
      </c>
      <c r="E237" s="10">
        <f>COMBIN(A237,D237)/COMBIN(A237-B237,D237)</f>
        <v/>
      </c>
      <c r="F237" s="11">
        <f>ROUNDUP(E237*Controls!$B$4,4)</f>
        <v/>
      </c>
      <c r="G237" s="12">
        <f>F237/E237</f>
        <v/>
      </c>
      <c r="H237" s="10">
        <f>(A237-B237-(D237-1))/(A237-(D237-1))</f>
        <v/>
      </c>
      <c r="I237" s="9">
        <f>A237&amp;'x'&amp;B237</f>
        <v/>
      </c>
      <c r="J237" s="9">
        <f>IF(AND(G237&gt;0.9,G237&lt;1),"OK","CHECK")</f>
        <v/>
      </c>
    </row>
    <row r="238">
      <c r="A238" s="9" t="n">
        <v>25</v>
      </c>
      <c r="B238" s="9" t="n">
        <v>4</v>
      </c>
      <c r="C238" s="9" t="n">
        <v>21</v>
      </c>
      <c r="D238" s="9" t="n">
        <v>10</v>
      </c>
      <c r="E238" s="10">
        <f>COMBIN(A238,D238)/COMBIN(A238-B238,D238)</f>
        <v/>
      </c>
      <c r="F238" s="11">
        <f>ROUNDUP(E238*Controls!$B$4,4)</f>
        <v/>
      </c>
      <c r="G238" s="12">
        <f>F238/E238</f>
        <v/>
      </c>
      <c r="H238" s="10">
        <f>(A238-B238-(D238-1))/(A238-(D238-1))</f>
        <v/>
      </c>
      <c r="I238" s="9">
        <f>A238&amp;'x'&amp;B238</f>
        <v/>
      </c>
      <c r="J238" s="9">
        <f>IF(AND(G238&gt;0.9,G238&lt;1),"OK","CHECK")</f>
        <v/>
      </c>
    </row>
    <row r="239">
      <c r="A239" s="9" t="n">
        <v>25</v>
      </c>
      <c r="B239" s="9" t="n">
        <v>4</v>
      </c>
      <c r="C239" s="9" t="n">
        <v>21</v>
      </c>
      <c r="D239" s="9" t="n">
        <v>11</v>
      </c>
      <c r="E239" s="10">
        <f>COMBIN(A239,D239)/COMBIN(A239-B239,D239)</f>
        <v/>
      </c>
      <c r="F239" s="11">
        <f>ROUNDUP(E239*Controls!$B$4,4)</f>
        <v/>
      </c>
      <c r="G239" s="12">
        <f>F239/E239</f>
        <v/>
      </c>
      <c r="H239" s="10">
        <f>(A239-B239-(D239-1))/(A239-(D239-1))</f>
        <v/>
      </c>
      <c r="I239" s="9">
        <f>A239&amp;'x'&amp;B239</f>
        <v/>
      </c>
      <c r="J239" s="9">
        <f>IF(AND(G239&gt;0.9,G239&lt;1),"OK","CHECK")</f>
        <v/>
      </c>
    </row>
    <row r="240">
      <c r="A240" s="9" t="n">
        <v>25</v>
      </c>
      <c r="B240" s="9" t="n">
        <v>4</v>
      </c>
      <c r="C240" s="9" t="n">
        <v>21</v>
      </c>
      <c r="D240" s="9" t="n">
        <v>12</v>
      </c>
      <c r="E240" s="10">
        <f>COMBIN(A240,D240)/COMBIN(A240-B240,D240)</f>
        <v/>
      </c>
      <c r="F240" s="11">
        <f>ROUNDUP(E240*Controls!$B$4,4)</f>
        <v/>
      </c>
      <c r="G240" s="12">
        <f>F240/E240</f>
        <v/>
      </c>
      <c r="H240" s="10">
        <f>(A240-B240-(D240-1))/(A240-(D240-1))</f>
        <v/>
      </c>
      <c r="I240" s="9">
        <f>A240&amp;'x'&amp;B240</f>
        <v/>
      </c>
      <c r="J240" s="9">
        <f>IF(AND(G240&gt;0.9,G240&lt;1),"OK","CHECK")</f>
        <v/>
      </c>
    </row>
    <row r="241">
      <c r="A241" s="9" t="n">
        <v>25</v>
      </c>
      <c r="B241" s="9" t="n">
        <v>4</v>
      </c>
      <c r="C241" s="9" t="n">
        <v>21</v>
      </c>
      <c r="D241" s="9" t="n">
        <v>13</v>
      </c>
      <c r="E241" s="10">
        <f>COMBIN(A241,D241)/COMBIN(A241-B241,D241)</f>
        <v/>
      </c>
      <c r="F241" s="11">
        <f>ROUNDUP(E241*Controls!$B$4,4)</f>
        <v/>
      </c>
      <c r="G241" s="12">
        <f>F241/E241</f>
        <v/>
      </c>
      <c r="H241" s="10">
        <f>(A241-B241-(D241-1))/(A241-(D241-1))</f>
        <v/>
      </c>
      <c r="I241" s="9">
        <f>A241&amp;'x'&amp;B241</f>
        <v/>
      </c>
      <c r="J241" s="9">
        <f>IF(AND(G241&gt;0.9,G241&lt;1),"OK","CHECK")</f>
        <v/>
      </c>
    </row>
    <row r="242">
      <c r="A242" s="9" t="n">
        <v>25</v>
      </c>
      <c r="B242" s="9" t="n">
        <v>4</v>
      </c>
      <c r="C242" s="9" t="n">
        <v>21</v>
      </c>
      <c r="D242" s="9" t="n">
        <v>14</v>
      </c>
      <c r="E242" s="10">
        <f>COMBIN(A242,D242)/COMBIN(A242-B242,D242)</f>
        <v/>
      </c>
      <c r="F242" s="11">
        <f>ROUNDUP(E242*Controls!$B$4,4)</f>
        <v/>
      </c>
      <c r="G242" s="12">
        <f>F242/E242</f>
        <v/>
      </c>
      <c r="H242" s="10">
        <f>(A242-B242-(D242-1))/(A242-(D242-1))</f>
        <v/>
      </c>
      <c r="I242" s="9">
        <f>A242&amp;'x'&amp;B242</f>
        <v/>
      </c>
      <c r="J242" s="9">
        <f>IF(AND(G242&gt;0.9,G242&lt;1),"OK","CHECK")</f>
        <v/>
      </c>
    </row>
    <row r="243">
      <c r="A243" s="9" t="n">
        <v>25</v>
      </c>
      <c r="B243" s="9" t="n">
        <v>4</v>
      </c>
      <c r="C243" s="9" t="n">
        <v>21</v>
      </c>
      <c r="D243" s="9" t="n">
        <v>15</v>
      </c>
      <c r="E243" s="10">
        <f>COMBIN(A243,D243)/COMBIN(A243-B243,D243)</f>
        <v/>
      </c>
      <c r="F243" s="11">
        <f>ROUNDUP(E243*Controls!$B$4,4)</f>
        <v/>
      </c>
      <c r="G243" s="12">
        <f>F243/E243</f>
        <v/>
      </c>
      <c r="H243" s="10">
        <f>(A243-B243-(D243-1))/(A243-(D243-1))</f>
        <v/>
      </c>
      <c r="I243" s="9">
        <f>A243&amp;'x'&amp;B243</f>
        <v/>
      </c>
      <c r="J243" s="9">
        <f>IF(AND(G243&gt;0.9,G243&lt;1),"OK","CHECK")</f>
        <v/>
      </c>
    </row>
    <row r="244">
      <c r="A244" s="9" t="n">
        <v>25</v>
      </c>
      <c r="B244" s="9" t="n">
        <v>4</v>
      </c>
      <c r="C244" s="9" t="n">
        <v>21</v>
      </c>
      <c r="D244" s="9" t="n">
        <v>16</v>
      </c>
      <c r="E244" s="10">
        <f>COMBIN(A244,D244)/COMBIN(A244-B244,D244)</f>
        <v/>
      </c>
      <c r="F244" s="11">
        <f>ROUNDUP(E244*Controls!$B$4,4)</f>
        <v/>
      </c>
      <c r="G244" s="12">
        <f>F244/E244</f>
        <v/>
      </c>
      <c r="H244" s="10">
        <f>(A244-B244-(D244-1))/(A244-(D244-1))</f>
        <v/>
      </c>
      <c r="I244" s="9">
        <f>A244&amp;'x'&amp;B244</f>
        <v/>
      </c>
      <c r="J244" s="9">
        <f>IF(AND(G244&gt;0.9,G244&lt;1),"OK","CHECK")</f>
        <v/>
      </c>
    </row>
    <row r="245">
      <c r="A245" s="9" t="n">
        <v>25</v>
      </c>
      <c r="B245" s="9" t="n">
        <v>4</v>
      </c>
      <c r="C245" s="9" t="n">
        <v>21</v>
      </c>
      <c r="D245" s="9" t="n">
        <v>17</v>
      </c>
      <c r="E245" s="10">
        <f>COMBIN(A245,D245)/COMBIN(A245-B245,D245)</f>
        <v/>
      </c>
      <c r="F245" s="11">
        <f>ROUNDUP(E245*Controls!$B$4,4)</f>
        <v/>
      </c>
      <c r="G245" s="12">
        <f>F245/E245</f>
        <v/>
      </c>
      <c r="H245" s="10">
        <f>(A245-B245-(D245-1))/(A245-(D245-1))</f>
        <v/>
      </c>
      <c r="I245" s="9">
        <f>A245&amp;'x'&amp;B245</f>
        <v/>
      </c>
      <c r="J245" s="9">
        <f>IF(AND(G245&gt;0.9,G245&lt;1),"OK","CHECK")</f>
        <v/>
      </c>
    </row>
    <row r="246">
      <c r="A246" s="9" t="n">
        <v>25</v>
      </c>
      <c r="B246" s="9" t="n">
        <v>4</v>
      </c>
      <c r="C246" s="9" t="n">
        <v>21</v>
      </c>
      <c r="D246" s="9" t="n">
        <v>18</v>
      </c>
      <c r="E246" s="10">
        <f>COMBIN(A246,D246)/COMBIN(A246-B246,D246)</f>
        <v/>
      </c>
      <c r="F246" s="11">
        <f>ROUNDUP(E246*Controls!$B$4,4)</f>
        <v/>
      </c>
      <c r="G246" s="12">
        <f>F246/E246</f>
        <v/>
      </c>
      <c r="H246" s="10">
        <f>(A246-B246-(D246-1))/(A246-(D246-1))</f>
        <v/>
      </c>
      <c r="I246" s="9">
        <f>A246&amp;'x'&amp;B246</f>
        <v/>
      </c>
      <c r="J246" s="9">
        <f>IF(AND(G246&gt;0.9,G246&lt;1),"OK","CHECK")</f>
        <v/>
      </c>
    </row>
    <row r="247">
      <c r="A247" s="9" t="n">
        <v>25</v>
      </c>
      <c r="B247" s="9" t="n">
        <v>4</v>
      </c>
      <c r="C247" s="9" t="n">
        <v>21</v>
      </c>
      <c r="D247" s="9" t="n">
        <v>19</v>
      </c>
      <c r="E247" s="10">
        <f>COMBIN(A247,D247)/COMBIN(A247-B247,D247)</f>
        <v/>
      </c>
      <c r="F247" s="11">
        <f>ROUNDUP(E247*Controls!$B$4,4)</f>
        <v/>
      </c>
      <c r="G247" s="12">
        <f>F247/E247</f>
        <v/>
      </c>
      <c r="H247" s="10">
        <f>(A247-B247-(D247-1))/(A247-(D247-1))</f>
        <v/>
      </c>
      <c r="I247" s="9">
        <f>A247&amp;'x'&amp;B247</f>
        <v/>
      </c>
      <c r="J247" s="9">
        <f>IF(AND(G247&gt;0.9,G247&lt;1),"OK","CHECK")</f>
        <v/>
      </c>
    </row>
    <row r="248">
      <c r="A248" s="9" t="n">
        <v>25</v>
      </c>
      <c r="B248" s="9" t="n">
        <v>4</v>
      </c>
      <c r="C248" s="9" t="n">
        <v>21</v>
      </c>
      <c r="D248" s="9" t="n">
        <v>20</v>
      </c>
      <c r="E248" s="10">
        <f>COMBIN(A248,D248)/COMBIN(A248-B248,D248)</f>
        <v/>
      </c>
      <c r="F248" s="11">
        <f>ROUNDUP(E248*Controls!$B$4,4)</f>
        <v/>
      </c>
      <c r="G248" s="12">
        <f>F248/E248</f>
        <v/>
      </c>
      <c r="H248" s="10">
        <f>(A248-B248-(D248-1))/(A248-(D248-1))</f>
        <v/>
      </c>
      <c r="I248" s="9">
        <f>A248&amp;'x'&amp;B248</f>
        <v/>
      </c>
      <c r="J248" s="9">
        <f>IF(AND(G248&gt;0.9,G248&lt;1),"OK","CHECK")</f>
        <v/>
      </c>
    </row>
    <row r="249">
      <c r="A249" s="9" t="n">
        <v>25</v>
      </c>
      <c r="B249" s="9" t="n">
        <v>4</v>
      </c>
      <c r="C249" s="9" t="n">
        <v>21</v>
      </c>
      <c r="D249" s="9" t="n">
        <v>21</v>
      </c>
      <c r="E249" s="10">
        <f>COMBIN(A249,D249)/COMBIN(A249-B249,D249)</f>
        <v/>
      </c>
      <c r="F249" s="11">
        <f>ROUNDUP(E249*Controls!$B$4,4)</f>
        <v/>
      </c>
      <c r="G249" s="12">
        <f>F249/E249</f>
        <v/>
      </c>
      <c r="H249" s="10">
        <f>(A249-B249-(D249-1))/(A249-(D249-1))</f>
        <v/>
      </c>
      <c r="I249" s="9">
        <f>A249&amp;'x'&amp;B249</f>
        <v/>
      </c>
      <c r="J249" s="9">
        <f>IF(AND(G249&gt;0.9,G249&lt;1),"OK","CHECK")</f>
        <v/>
      </c>
    </row>
    <row r="250">
      <c r="A250" s="9" t="n">
        <v>25</v>
      </c>
      <c r="B250" s="9" t="n">
        <v>5</v>
      </c>
      <c r="C250" s="9" t="n">
        <v>20</v>
      </c>
      <c r="D250" s="9" t="n">
        <v>1</v>
      </c>
      <c r="E250" s="10">
        <f>COMBIN(A250,D250)/COMBIN(A250-B250,D250)</f>
        <v/>
      </c>
      <c r="F250" s="11">
        <f>ROUNDUP(E250*Controls!$B$4,4)</f>
        <v/>
      </c>
      <c r="G250" s="12">
        <f>F250/E250</f>
        <v/>
      </c>
      <c r="H250" s="10">
        <f>(A250-B250-(D250-1))/(A250-(D250-1))</f>
        <v/>
      </c>
      <c r="I250" s="9">
        <f>A250&amp;'x'&amp;B250</f>
        <v/>
      </c>
      <c r="J250" s="9">
        <f>IF(AND(G250&gt;0.9,G250&lt;1),"OK","CHECK")</f>
        <v/>
      </c>
    </row>
    <row r="251">
      <c r="A251" s="9" t="n">
        <v>25</v>
      </c>
      <c r="B251" s="9" t="n">
        <v>5</v>
      </c>
      <c r="C251" s="9" t="n">
        <v>20</v>
      </c>
      <c r="D251" s="9" t="n">
        <v>2</v>
      </c>
      <c r="E251" s="10">
        <f>COMBIN(A251,D251)/COMBIN(A251-B251,D251)</f>
        <v/>
      </c>
      <c r="F251" s="11">
        <f>ROUNDUP(E251*Controls!$B$4,4)</f>
        <v/>
      </c>
      <c r="G251" s="12">
        <f>F251/E251</f>
        <v/>
      </c>
      <c r="H251" s="10">
        <f>(A251-B251-(D251-1))/(A251-(D251-1))</f>
        <v/>
      </c>
      <c r="I251" s="9">
        <f>A251&amp;'x'&amp;B251</f>
        <v/>
      </c>
      <c r="J251" s="9">
        <f>IF(AND(G251&gt;0.9,G251&lt;1),"OK","CHECK")</f>
        <v/>
      </c>
    </row>
    <row r="252">
      <c r="A252" s="9" t="n">
        <v>25</v>
      </c>
      <c r="B252" s="9" t="n">
        <v>5</v>
      </c>
      <c r="C252" s="9" t="n">
        <v>20</v>
      </c>
      <c r="D252" s="9" t="n">
        <v>3</v>
      </c>
      <c r="E252" s="10">
        <f>COMBIN(A252,D252)/COMBIN(A252-B252,D252)</f>
        <v/>
      </c>
      <c r="F252" s="11">
        <f>ROUNDUP(E252*Controls!$B$4,4)</f>
        <v/>
      </c>
      <c r="G252" s="12">
        <f>F252/E252</f>
        <v/>
      </c>
      <c r="H252" s="10">
        <f>(A252-B252-(D252-1))/(A252-(D252-1))</f>
        <v/>
      </c>
      <c r="I252" s="9">
        <f>A252&amp;'x'&amp;B252</f>
        <v/>
      </c>
      <c r="J252" s="9">
        <f>IF(AND(G252&gt;0.9,G252&lt;1),"OK","CHECK")</f>
        <v/>
      </c>
    </row>
    <row r="253">
      <c r="A253" s="9" t="n">
        <v>25</v>
      </c>
      <c r="B253" s="9" t="n">
        <v>5</v>
      </c>
      <c r="C253" s="9" t="n">
        <v>20</v>
      </c>
      <c r="D253" s="9" t="n">
        <v>4</v>
      </c>
      <c r="E253" s="10">
        <f>COMBIN(A253,D253)/COMBIN(A253-B253,D253)</f>
        <v/>
      </c>
      <c r="F253" s="11">
        <f>ROUNDUP(E253*Controls!$B$4,4)</f>
        <v/>
      </c>
      <c r="G253" s="12">
        <f>F253/E253</f>
        <v/>
      </c>
      <c r="H253" s="10">
        <f>(A253-B253-(D253-1))/(A253-(D253-1))</f>
        <v/>
      </c>
      <c r="I253" s="9">
        <f>A253&amp;'x'&amp;B253</f>
        <v/>
      </c>
      <c r="J253" s="9">
        <f>IF(AND(G253&gt;0.9,G253&lt;1),"OK","CHECK")</f>
        <v/>
      </c>
    </row>
    <row r="254">
      <c r="A254" s="9" t="n">
        <v>25</v>
      </c>
      <c r="B254" s="9" t="n">
        <v>5</v>
      </c>
      <c r="C254" s="9" t="n">
        <v>20</v>
      </c>
      <c r="D254" s="9" t="n">
        <v>5</v>
      </c>
      <c r="E254" s="10">
        <f>COMBIN(A254,D254)/COMBIN(A254-B254,D254)</f>
        <v/>
      </c>
      <c r="F254" s="11">
        <f>ROUNDUP(E254*Controls!$B$4,4)</f>
        <v/>
      </c>
      <c r="G254" s="12">
        <f>F254/E254</f>
        <v/>
      </c>
      <c r="H254" s="10">
        <f>(A254-B254-(D254-1))/(A254-(D254-1))</f>
        <v/>
      </c>
      <c r="I254" s="9">
        <f>A254&amp;'x'&amp;B254</f>
        <v/>
      </c>
      <c r="J254" s="9">
        <f>IF(AND(G254&gt;0.9,G254&lt;1),"OK","CHECK")</f>
        <v/>
      </c>
    </row>
    <row r="255">
      <c r="A255" s="9" t="n">
        <v>25</v>
      </c>
      <c r="B255" s="9" t="n">
        <v>5</v>
      </c>
      <c r="C255" s="9" t="n">
        <v>20</v>
      </c>
      <c r="D255" s="9" t="n">
        <v>6</v>
      </c>
      <c r="E255" s="10">
        <f>COMBIN(A255,D255)/COMBIN(A255-B255,D255)</f>
        <v/>
      </c>
      <c r="F255" s="11">
        <f>ROUNDUP(E255*Controls!$B$4,4)</f>
        <v/>
      </c>
      <c r="G255" s="12">
        <f>F255/E255</f>
        <v/>
      </c>
      <c r="H255" s="10">
        <f>(A255-B255-(D255-1))/(A255-(D255-1))</f>
        <v/>
      </c>
      <c r="I255" s="9">
        <f>A255&amp;'x'&amp;B255</f>
        <v/>
      </c>
      <c r="J255" s="9">
        <f>IF(AND(G255&gt;0.9,G255&lt;1),"OK","CHECK")</f>
        <v/>
      </c>
    </row>
    <row r="256">
      <c r="A256" s="9" t="n">
        <v>25</v>
      </c>
      <c r="B256" s="9" t="n">
        <v>5</v>
      </c>
      <c r="C256" s="9" t="n">
        <v>20</v>
      </c>
      <c r="D256" s="9" t="n">
        <v>7</v>
      </c>
      <c r="E256" s="10">
        <f>COMBIN(A256,D256)/COMBIN(A256-B256,D256)</f>
        <v/>
      </c>
      <c r="F256" s="11">
        <f>ROUNDUP(E256*Controls!$B$4,4)</f>
        <v/>
      </c>
      <c r="G256" s="12">
        <f>F256/E256</f>
        <v/>
      </c>
      <c r="H256" s="10">
        <f>(A256-B256-(D256-1))/(A256-(D256-1))</f>
        <v/>
      </c>
      <c r="I256" s="9">
        <f>A256&amp;'x'&amp;B256</f>
        <v/>
      </c>
      <c r="J256" s="9">
        <f>IF(AND(G256&gt;0.9,G256&lt;1),"OK","CHECK")</f>
        <v/>
      </c>
    </row>
    <row r="257">
      <c r="A257" s="9" t="n">
        <v>25</v>
      </c>
      <c r="B257" s="9" t="n">
        <v>5</v>
      </c>
      <c r="C257" s="9" t="n">
        <v>20</v>
      </c>
      <c r="D257" s="9" t="n">
        <v>8</v>
      </c>
      <c r="E257" s="10">
        <f>COMBIN(A257,D257)/COMBIN(A257-B257,D257)</f>
        <v/>
      </c>
      <c r="F257" s="11">
        <f>ROUNDUP(E257*Controls!$B$4,4)</f>
        <v/>
      </c>
      <c r="G257" s="12">
        <f>F257/E257</f>
        <v/>
      </c>
      <c r="H257" s="10">
        <f>(A257-B257-(D257-1))/(A257-(D257-1))</f>
        <v/>
      </c>
      <c r="I257" s="9">
        <f>A257&amp;'x'&amp;B257</f>
        <v/>
      </c>
      <c r="J257" s="9">
        <f>IF(AND(G257&gt;0.9,G257&lt;1),"OK","CHECK")</f>
        <v/>
      </c>
    </row>
    <row r="258">
      <c r="A258" s="9" t="n">
        <v>25</v>
      </c>
      <c r="B258" s="9" t="n">
        <v>5</v>
      </c>
      <c r="C258" s="9" t="n">
        <v>20</v>
      </c>
      <c r="D258" s="9" t="n">
        <v>9</v>
      </c>
      <c r="E258" s="10">
        <f>COMBIN(A258,D258)/COMBIN(A258-B258,D258)</f>
        <v/>
      </c>
      <c r="F258" s="11">
        <f>ROUNDUP(E258*Controls!$B$4,4)</f>
        <v/>
      </c>
      <c r="G258" s="12">
        <f>F258/E258</f>
        <v/>
      </c>
      <c r="H258" s="10">
        <f>(A258-B258-(D258-1))/(A258-(D258-1))</f>
        <v/>
      </c>
      <c r="I258" s="9">
        <f>A258&amp;'x'&amp;B258</f>
        <v/>
      </c>
      <c r="J258" s="9">
        <f>IF(AND(G258&gt;0.9,G258&lt;1),"OK","CHECK")</f>
        <v/>
      </c>
    </row>
    <row r="259">
      <c r="A259" s="9" t="n">
        <v>25</v>
      </c>
      <c r="B259" s="9" t="n">
        <v>5</v>
      </c>
      <c r="C259" s="9" t="n">
        <v>20</v>
      </c>
      <c r="D259" s="9" t="n">
        <v>10</v>
      </c>
      <c r="E259" s="10">
        <f>COMBIN(A259,D259)/COMBIN(A259-B259,D259)</f>
        <v/>
      </c>
      <c r="F259" s="11">
        <f>ROUNDUP(E259*Controls!$B$4,4)</f>
        <v/>
      </c>
      <c r="G259" s="12">
        <f>F259/E259</f>
        <v/>
      </c>
      <c r="H259" s="10">
        <f>(A259-B259-(D259-1))/(A259-(D259-1))</f>
        <v/>
      </c>
      <c r="I259" s="9">
        <f>A259&amp;'x'&amp;B259</f>
        <v/>
      </c>
      <c r="J259" s="9">
        <f>IF(AND(G259&gt;0.9,G259&lt;1),"OK","CHECK")</f>
        <v/>
      </c>
    </row>
    <row r="260">
      <c r="A260" s="9" t="n">
        <v>25</v>
      </c>
      <c r="B260" s="9" t="n">
        <v>5</v>
      </c>
      <c r="C260" s="9" t="n">
        <v>20</v>
      </c>
      <c r="D260" s="9" t="n">
        <v>11</v>
      </c>
      <c r="E260" s="10">
        <f>COMBIN(A260,D260)/COMBIN(A260-B260,D260)</f>
        <v/>
      </c>
      <c r="F260" s="11">
        <f>ROUNDUP(E260*Controls!$B$4,4)</f>
        <v/>
      </c>
      <c r="G260" s="12">
        <f>F260/E260</f>
        <v/>
      </c>
      <c r="H260" s="10">
        <f>(A260-B260-(D260-1))/(A260-(D260-1))</f>
        <v/>
      </c>
      <c r="I260" s="9">
        <f>A260&amp;'x'&amp;B260</f>
        <v/>
      </c>
      <c r="J260" s="9">
        <f>IF(AND(G260&gt;0.9,G260&lt;1),"OK","CHECK")</f>
        <v/>
      </c>
    </row>
    <row r="261">
      <c r="A261" s="9" t="n">
        <v>25</v>
      </c>
      <c r="B261" s="9" t="n">
        <v>5</v>
      </c>
      <c r="C261" s="9" t="n">
        <v>20</v>
      </c>
      <c r="D261" s="9" t="n">
        <v>12</v>
      </c>
      <c r="E261" s="10">
        <f>COMBIN(A261,D261)/COMBIN(A261-B261,D261)</f>
        <v/>
      </c>
      <c r="F261" s="11">
        <f>ROUNDUP(E261*Controls!$B$4,4)</f>
        <v/>
      </c>
      <c r="G261" s="12">
        <f>F261/E261</f>
        <v/>
      </c>
      <c r="H261" s="10">
        <f>(A261-B261-(D261-1))/(A261-(D261-1))</f>
        <v/>
      </c>
      <c r="I261" s="9">
        <f>A261&amp;'x'&amp;B261</f>
        <v/>
      </c>
      <c r="J261" s="9">
        <f>IF(AND(G261&gt;0.9,G261&lt;1),"OK","CHECK")</f>
        <v/>
      </c>
    </row>
    <row r="262">
      <c r="A262" s="9" t="n">
        <v>25</v>
      </c>
      <c r="B262" s="9" t="n">
        <v>5</v>
      </c>
      <c r="C262" s="9" t="n">
        <v>20</v>
      </c>
      <c r="D262" s="9" t="n">
        <v>13</v>
      </c>
      <c r="E262" s="10">
        <f>COMBIN(A262,D262)/COMBIN(A262-B262,D262)</f>
        <v/>
      </c>
      <c r="F262" s="11">
        <f>ROUNDUP(E262*Controls!$B$4,4)</f>
        <v/>
      </c>
      <c r="G262" s="12">
        <f>F262/E262</f>
        <v/>
      </c>
      <c r="H262" s="10">
        <f>(A262-B262-(D262-1))/(A262-(D262-1))</f>
        <v/>
      </c>
      <c r="I262" s="9">
        <f>A262&amp;'x'&amp;B262</f>
        <v/>
      </c>
      <c r="J262" s="9">
        <f>IF(AND(G262&gt;0.9,G262&lt;1),"OK","CHECK")</f>
        <v/>
      </c>
    </row>
    <row r="263">
      <c r="A263" s="9" t="n">
        <v>25</v>
      </c>
      <c r="B263" s="9" t="n">
        <v>5</v>
      </c>
      <c r="C263" s="9" t="n">
        <v>20</v>
      </c>
      <c r="D263" s="9" t="n">
        <v>14</v>
      </c>
      <c r="E263" s="10">
        <f>COMBIN(A263,D263)/COMBIN(A263-B263,D263)</f>
        <v/>
      </c>
      <c r="F263" s="11">
        <f>ROUNDUP(E263*Controls!$B$4,4)</f>
        <v/>
      </c>
      <c r="G263" s="12">
        <f>F263/E263</f>
        <v/>
      </c>
      <c r="H263" s="10">
        <f>(A263-B263-(D263-1))/(A263-(D263-1))</f>
        <v/>
      </c>
      <c r="I263" s="9">
        <f>A263&amp;'x'&amp;B263</f>
        <v/>
      </c>
      <c r="J263" s="9">
        <f>IF(AND(G263&gt;0.9,G263&lt;1),"OK","CHECK")</f>
        <v/>
      </c>
    </row>
    <row r="264">
      <c r="A264" s="9" t="n">
        <v>25</v>
      </c>
      <c r="B264" s="9" t="n">
        <v>5</v>
      </c>
      <c r="C264" s="9" t="n">
        <v>20</v>
      </c>
      <c r="D264" s="9" t="n">
        <v>15</v>
      </c>
      <c r="E264" s="10">
        <f>COMBIN(A264,D264)/COMBIN(A264-B264,D264)</f>
        <v/>
      </c>
      <c r="F264" s="11">
        <f>ROUNDUP(E264*Controls!$B$4,4)</f>
        <v/>
      </c>
      <c r="G264" s="12">
        <f>F264/E264</f>
        <v/>
      </c>
      <c r="H264" s="10">
        <f>(A264-B264-(D264-1))/(A264-(D264-1))</f>
        <v/>
      </c>
      <c r="I264" s="9">
        <f>A264&amp;'x'&amp;B264</f>
        <v/>
      </c>
      <c r="J264" s="9">
        <f>IF(AND(G264&gt;0.9,G264&lt;1),"OK","CHECK")</f>
        <v/>
      </c>
    </row>
    <row r="265">
      <c r="A265" s="9" t="n">
        <v>25</v>
      </c>
      <c r="B265" s="9" t="n">
        <v>5</v>
      </c>
      <c r="C265" s="9" t="n">
        <v>20</v>
      </c>
      <c r="D265" s="9" t="n">
        <v>16</v>
      </c>
      <c r="E265" s="10">
        <f>COMBIN(A265,D265)/COMBIN(A265-B265,D265)</f>
        <v/>
      </c>
      <c r="F265" s="11">
        <f>ROUNDUP(E265*Controls!$B$4,4)</f>
        <v/>
      </c>
      <c r="G265" s="12">
        <f>F265/E265</f>
        <v/>
      </c>
      <c r="H265" s="10">
        <f>(A265-B265-(D265-1))/(A265-(D265-1))</f>
        <v/>
      </c>
      <c r="I265" s="9">
        <f>A265&amp;'x'&amp;B265</f>
        <v/>
      </c>
      <c r="J265" s="9">
        <f>IF(AND(G265&gt;0.9,G265&lt;1),"OK","CHECK")</f>
        <v/>
      </c>
    </row>
    <row r="266">
      <c r="A266" s="9" t="n">
        <v>25</v>
      </c>
      <c r="B266" s="9" t="n">
        <v>5</v>
      </c>
      <c r="C266" s="9" t="n">
        <v>20</v>
      </c>
      <c r="D266" s="9" t="n">
        <v>17</v>
      </c>
      <c r="E266" s="10">
        <f>COMBIN(A266,D266)/COMBIN(A266-B266,D266)</f>
        <v/>
      </c>
      <c r="F266" s="11">
        <f>ROUNDUP(E266*Controls!$B$4,4)</f>
        <v/>
      </c>
      <c r="G266" s="12">
        <f>F266/E266</f>
        <v/>
      </c>
      <c r="H266" s="10">
        <f>(A266-B266-(D266-1))/(A266-(D266-1))</f>
        <v/>
      </c>
      <c r="I266" s="9">
        <f>A266&amp;'x'&amp;B266</f>
        <v/>
      </c>
      <c r="J266" s="9">
        <f>IF(AND(G266&gt;0.9,G266&lt;1),"OK","CHECK")</f>
        <v/>
      </c>
    </row>
    <row r="267">
      <c r="A267" s="9" t="n">
        <v>25</v>
      </c>
      <c r="B267" s="9" t="n">
        <v>5</v>
      </c>
      <c r="C267" s="9" t="n">
        <v>20</v>
      </c>
      <c r="D267" s="9" t="n">
        <v>18</v>
      </c>
      <c r="E267" s="10">
        <f>COMBIN(A267,D267)/COMBIN(A267-B267,D267)</f>
        <v/>
      </c>
      <c r="F267" s="11">
        <f>ROUNDUP(E267*Controls!$B$4,4)</f>
        <v/>
      </c>
      <c r="G267" s="12">
        <f>F267/E267</f>
        <v/>
      </c>
      <c r="H267" s="10">
        <f>(A267-B267-(D267-1))/(A267-(D267-1))</f>
        <v/>
      </c>
      <c r="I267" s="9">
        <f>A267&amp;'x'&amp;B267</f>
        <v/>
      </c>
      <c r="J267" s="9">
        <f>IF(AND(G267&gt;0.9,G267&lt;1),"OK","CHECK")</f>
        <v/>
      </c>
    </row>
    <row r="268">
      <c r="A268" s="9" t="n">
        <v>25</v>
      </c>
      <c r="B268" s="9" t="n">
        <v>5</v>
      </c>
      <c r="C268" s="9" t="n">
        <v>20</v>
      </c>
      <c r="D268" s="9" t="n">
        <v>19</v>
      </c>
      <c r="E268" s="10">
        <f>COMBIN(A268,D268)/COMBIN(A268-B268,D268)</f>
        <v/>
      </c>
      <c r="F268" s="11">
        <f>ROUNDUP(E268*Controls!$B$4,4)</f>
        <v/>
      </c>
      <c r="G268" s="12">
        <f>F268/E268</f>
        <v/>
      </c>
      <c r="H268" s="10">
        <f>(A268-B268-(D268-1))/(A268-(D268-1))</f>
        <v/>
      </c>
      <c r="I268" s="9">
        <f>A268&amp;'x'&amp;B268</f>
        <v/>
      </c>
      <c r="J268" s="9">
        <f>IF(AND(G268&gt;0.9,G268&lt;1),"OK","CHECK")</f>
        <v/>
      </c>
    </row>
    <row r="269">
      <c r="A269" s="9" t="n">
        <v>25</v>
      </c>
      <c r="B269" s="9" t="n">
        <v>5</v>
      </c>
      <c r="C269" s="9" t="n">
        <v>20</v>
      </c>
      <c r="D269" s="9" t="n">
        <v>20</v>
      </c>
      <c r="E269" s="10">
        <f>COMBIN(A269,D269)/COMBIN(A269-B269,D269)</f>
        <v/>
      </c>
      <c r="F269" s="11">
        <f>ROUNDUP(E269*Controls!$B$4,4)</f>
        <v/>
      </c>
      <c r="G269" s="12">
        <f>F269/E269</f>
        <v/>
      </c>
      <c r="H269" s="10">
        <f>(A269-B269-(D269-1))/(A269-(D269-1))</f>
        <v/>
      </c>
      <c r="I269" s="9">
        <f>A269&amp;'x'&amp;B269</f>
        <v/>
      </c>
      <c r="J269" s="9">
        <f>IF(AND(G269&gt;0.9,G269&lt;1),"OK","CHECK")</f>
        <v/>
      </c>
    </row>
    <row r="270">
      <c r="A270" s="9" t="n">
        <v>25</v>
      </c>
      <c r="B270" s="9" t="n">
        <v>6</v>
      </c>
      <c r="C270" s="9" t="n">
        <v>19</v>
      </c>
      <c r="D270" s="9" t="n">
        <v>1</v>
      </c>
      <c r="E270" s="10">
        <f>COMBIN(A270,D270)/COMBIN(A270-B270,D270)</f>
        <v/>
      </c>
      <c r="F270" s="11">
        <f>ROUNDUP(E270*Controls!$B$4,4)</f>
        <v/>
      </c>
      <c r="G270" s="12">
        <f>F270/E270</f>
        <v/>
      </c>
      <c r="H270" s="10">
        <f>(A270-B270-(D270-1))/(A270-(D270-1))</f>
        <v/>
      </c>
      <c r="I270" s="9">
        <f>A270&amp;'x'&amp;B270</f>
        <v/>
      </c>
      <c r="J270" s="9">
        <f>IF(AND(G270&gt;0.9,G270&lt;1),"OK","CHECK")</f>
        <v/>
      </c>
    </row>
    <row r="271">
      <c r="A271" s="9" t="n">
        <v>25</v>
      </c>
      <c r="B271" s="9" t="n">
        <v>6</v>
      </c>
      <c r="C271" s="9" t="n">
        <v>19</v>
      </c>
      <c r="D271" s="9" t="n">
        <v>2</v>
      </c>
      <c r="E271" s="10">
        <f>COMBIN(A271,D271)/COMBIN(A271-B271,D271)</f>
        <v/>
      </c>
      <c r="F271" s="11">
        <f>ROUNDUP(E271*Controls!$B$4,4)</f>
        <v/>
      </c>
      <c r="G271" s="12">
        <f>F271/E271</f>
        <v/>
      </c>
      <c r="H271" s="10">
        <f>(A271-B271-(D271-1))/(A271-(D271-1))</f>
        <v/>
      </c>
      <c r="I271" s="9">
        <f>A271&amp;'x'&amp;B271</f>
        <v/>
      </c>
      <c r="J271" s="9">
        <f>IF(AND(G271&gt;0.9,G271&lt;1),"OK","CHECK")</f>
        <v/>
      </c>
    </row>
    <row r="272">
      <c r="A272" s="9" t="n">
        <v>25</v>
      </c>
      <c r="B272" s="9" t="n">
        <v>6</v>
      </c>
      <c r="C272" s="9" t="n">
        <v>19</v>
      </c>
      <c r="D272" s="9" t="n">
        <v>3</v>
      </c>
      <c r="E272" s="10">
        <f>COMBIN(A272,D272)/COMBIN(A272-B272,D272)</f>
        <v/>
      </c>
      <c r="F272" s="11">
        <f>ROUNDUP(E272*Controls!$B$4,4)</f>
        <v/>
      </c>
      <c r="G272" s="12">
        <f>F272/E272</f>
        <v/>
      </c>
      <c r="H272" s="10">
        <f>(A272-B272-(D272-1))/(A272-(D272-1))</f>
        <v/>
      </c>
      <c r="I272" s="9">
        <f>A272&amp;'x'&amp;B272</f>
        <v/>
      </c>
      <c r="J272" s="9">
        <f>IF(AND(G272&gt;0.9,G272&lt;1),"OK","CHECK")</f>
        <v/>
      </c>
    </row>
    <row r="273">
      <c r="A273" s="9" t="n">
        <v>25</v>
      </c>
      <c r="B273" s="9" t="n">
        <v>6</v>
      </c>
      <c r="C273" s="9" t="n">
        <v>19</v>
      </c>
      <c r="D273" s="9" t="n">
        <v>4</v>
      </c>
      <c r="E273" s="10">
        <f>COMBIN(A273,D273)/COMBIN(A273-B273,D273)</f>
        <v/>
      </c>
      <c r="F273" s="11">
        <f>ROUNDUP(E273*Controls!$B$4,4)</f>
        <v/>
      </c>
      <c r="G273" s="12">
        <f>F273/E273</f>
        <v/>
      </c>
      <c r="H273" s="10">
        <f>(A273-B273-(D273-1))/(A273-(D273-1))</f>
        <v/>
      </c>
      <c r="I273" s="9">
        <f>A273&amp;'x'&amp;B273</f>
        <v/>
      </c>
      <c r="J273" s="9">
        <f>IF(AND(G273&gt;0.9,G273&lt;1),"OK","CHECK")</f>
        <v/>
      </c>
    </row>
    <row r="274">
      <c r="A274" s="9" t="n">
        <v>25</v>
      </c>
      <c r="B274" s="9" t="n">
        <v>6</v>
      </c>
      <c r="C274" s="9" t="n">
        <v>19</v>
      </c>
      <c r="D274" s="9" t="n">
        <v>5</v>
      </c>
      <c r="E274" s="10">
        <f>COMBIN(A274,D274)/COMBIN(A274-B274,D274)</f>
        <v/>
      </c>
      <c r="F274" s="11">
        <f>ROUNDUP(E274*Controls!$B$4,4)</f>
        <v/>
      </c>
      <c r="G274" s="12">
        <f>F274/E274</f>
        <v/>
      </c>
      <c r="H274" s="10">
        <f>(A274-B274-(D274-1))/(A274-(D274-1))</f>
        <v/>
      </c>
      <c r="I274" s="9">
        <f>A274&amp;'x'&amp;B274</f>
        <v/>
      </c>
      <c r="J274" s="9">
        <f>IF(AND(G274&gt;0.9,G274&lt;1),"OK","CHECK")</f>
        <v/>
      </c>
    </row>
    <row r="275">
      <c r="A275" s="9" t="n">
        <v>25</v>
      </c>
      <c r="B275" s="9" t="n">
        <v>6</v>
      </c>
      <c r="C275" s="9" t="n">
        <v>19</v>
      </c>
      <c r="D275" s="9" t="n">
        <v>6</v>
      </c>
      <c r="E275" s="10">
        <f>COMBIN(A275,D275)/COMBIN(A275-B275,D275)</f>
        <v/>
      </c>
      <c r="F275" s="11">
        <f>ROUNDUP(E275*Controls!$B$4,4)</f>
        <v/>
      </c>
      <c r="G275" s="12">
        <f>F275/E275</f>
        <v/>
      </c>
      <c r="H275" s="10">
        <f>(A275-B275-(D275-1))/(A275-(D275-1))</f>
        <v/>
      </c>
      <c r="I275" s="9">
        <f>A275&amp;'x'&amp;B275</f>
        <v/>
      </c>
      <c r="J275" s="9">
        <f>IF(AND(G275&gt;0.9,G275&lt;1),"OK","CHECK")</f>
        <v/>
      </c>
    </row>
    <row r="276">
      <c r="A276" s="9" t="n">
        <v>25</v>
      </c>
      <c r="B276" s="9" t="n">
        <v>6</v>
      </c>
      <c r="C276" s="9" t="n">
        <v>19</v>
      </c>
      <c r="D276" s="9" t="n">
        <v>7</v>
      </c>
      <c r="E276" s="10">
        <f>COMBIN(A276,D276)/COMBIN(A276-B276,D276)</f>
        <v/>
      </c>
      <c r="F276" s="11">
        <f>ROUNDUP(E276*Controls!$B$4,4)</f>
        <v/>
      </c>
      <c r="G276" s="12">
        <f>F276/E276</f>
        <v/>
      </c>
      <c r="H276" s="10">
        <f>(A276-B276-(D276-1))/(A276-(D276-1))</f>
        <v/>
      </c>
      <c r="I276" s="9">
        <f>A276&amp;'x'&amp;B276</f>
        <v/>
      </c>
      <c r="J276" s="9">
        <f>IF(AND(G276&gt;0.9,G276&lt;1),"OK","CHECK")</f>
        <v/>
      </c>
    </row>
    <row r="277">
      <c r="A277" s="9" t="n">
        <v>25</v>
      </c>
      <c r="B277" s="9" t="n">
        <v>6</v>
      </c>
      <c r="C277" s="9" t="n">
        <v>19</v>
      </c>
      <c r="D277" s="9" t="n">
        <v>8</v>
      </c>
      <c r="E277" s="10">
        <f>COMBIN(A277,D277)/COMBIN(A277-B277,D277)</f>
        <v/>
      </c>
      <c r="F277" s="11">
        <f>ROUNDUP(E277*Controls!$B$4,4)</f>
        <v/>
      </c>
      <c r="G277" s="12">
        <f>F277/E277</f>
        <v/>
      </c>
      <c r="H277" s="10">
        <f>(A277-B277-(D277-1))/(A277-(D277-1))</f>
        <v/>
      </c>
      <c r="I277" s="9">
        <f>A277&amp;'x'&amp;B277</f>
        <v/>
      </c>
      <c r="J277" s="9">
        <f>IF(AND(G277&gt;0.9,G277&lt;1),"OK","CHECK")</f>
        <v/>
      </c>
    </row>
    <row r="278">
      <c r="A278" s="9" t="n">
        <v>25</v>
      </c>
      <c r="B278" s="9" t="n">
        <v>6</v>
      </c>
      <c r="C278" s="9" t="n">
        <v>19</v>
      </c>
      <c r="D278" s="9" t="n">
        <v>9</v>
      </c>
      <c r="E278" s="10">
        <f>COMBIN(A278,D278)/COMBIN(A278-B278,D278)</f>
        <v/>
      </c>
      <c r="F278" s="11">
        <f>ROUNDUP(E278*Controls!$B$4,4)</f>
        <v/>
      </c>
      <c r="G278" s="12">
        <f>F278/E278</f>
        <v/>
      </c>
      <c r="H278" s="10">
        <f>(A278-B278-(D278-1))/(A278-(D278-1))</f>
        <v/>
      </c>
      <c r="I278" s="9">
        <f>A278&amp;'x'&amp;B278</f>
        <v/>
      </c>
      <c r="J278" s="9">
        <f>IF(AND(G278&gt;0.9,G278&lt;1),"OK","CHECK")</f>
        <v/>
      </c>
    </row>
    <row r="279">
      <c r="A279" s="9" t="n">
        <v>25</v>
      </c>
      <c r="B279" s="9" t="n">
        <v>6</v>
      </c>
      <c r="C279" s="9" t="n">
        <v>19</v>
      </c>
      <c r="D279" s="9" t="n">
        <v>10</v>
      </c>
      <c r="E279" s="10">
        <f>COMBIN(A279,D279)/COMBIN(A279-B279,D279)</f>
        <v/>
      </c>
      <c r="F279" s="11">
        <f>ROUNDUP(E279*Controls!$B$4,4)</f>
        <v/>
      </c>
      <c r="G279" s="12">
        <f>F279/E279</f>
        <v/>
      </c>
      <c r="H279" s="10">
        <f>(A279-B279-(D279-1))/(A279-(D279-1))</f>
        <v/>
      </c>
      <c r="I279" s="9">
        <f>A279&amp;'x'&amp;B279</f>
        <v/>
      </c>
      <c r="J279" s="9">
        <f>IF(AND(G279&gt;0.9,G279&lt;1),"OK","CHECK")</f>
        <v/>
      </c>
    </row>
    <row r="280">
      <c r="A280" s="9" t="n">
        <v>25</v>
      </c>
      <c r="B280" s="9" t="n">
        <v>6</v>
      </c>
      <c r="C280" s="9" t="n">
        <v>19</v>
      </c>
      <c r="D280" s="9" t="n">
        <v>11</v>
      </c>
      <c r="E280" s="10">
        <f>COMBIN(A280,D280)/COMBIN(A280-B280,D280)</f>
        <v/>
      </c>
      <c r="F280" s="11">
        <f>ROUNDUP(E280*Controls!$B$4,4)</f>
        <v/>
      </c>
      <c r="G280" s="12">
        <f>F280/E280</f>
        <v/>
      </c>
      <c r="H280" s="10">
        <f>(A280-B280-(D280-1))/(A280-(D280-1))</f>
        <v/>
      </c>
      <c r="I280" s="9">
        <f>A280&amp;'x'&amp;B280</f>
        <v/>
      </c>
      <c r="J280" s="9">
        <f>IF(AND(G280&gt;0.9,G280&lt;1),"OK","CHECK")</f>
        <v/>
      </c>
    </row>
    <row r="281">
      <c r="A281" s="9" t="n">
        <v>25</v>
      </c>
      <c r="B281" s="9" t="n">
        <v>6</v>
      </c>
      <c r="C281" s="9" t="n">
        <v>19</v>
      </c>
      <c r="D281" s="9" t="n">
        <v>12</v>
      </c>
      <c r="E281" s="10">
        <f>COMBIN(A281,D281)/COMBIN(A281-B281,D281)</f>
        <v/>
      </c>
      <c r="F281" s="11">
        <f>ROUNDUP(E281*Controls!$B$4,4)</f>
        <v/>
      </c>
      <c r="G281" s="12">
        <f>F281/E281</f>
        <v/>
      </c>
      <c r="H281" s="10">
        <f>(A281-B281-(D281-1))/(A281-(D281-1))</f>
        <v/>
      </c>
      <c r="I281" s="9">
        <f>A281&amp;'x'&amp;B281</f>
        <v/>
      </c>
      <c r="J281" s="9">
        <f>IF(AND(G281&gt;0.9,G281&lt;1),"OK","CHECK")</f>
        <v/>
      </c>
    </row>
    <row r="282">
      <c r="A282" s="9" t="n">
        <v>25</v>
      </c>
      <c r="B282" s="9" t="n">
        <v>6</v>
      </c>
      <c r="C282" s="9" t="n">
        <v>19</v>
      </c>
      <c r="D282" s="9" t="n">
        <v>13</v>
      </c>
      <c r="E282" s="10">
        <f>COMBIN(A282,D282)/COMBIN(A282-B282,D282)</f>
        <v/>
      </c>
      <c r="F282" s="11">
        <f>ROUNDUP(E282*Controls!$B$4,4)</f>
        <v/>
      </c>
      <c r="G282" s="12">
        <f>F282/E282</f>
        <v/>
      </c>
      <c r="H282" s="10">
        <f>(A282-B282-(D282-1))/(A282-(D282-1))</f>
        <v/>
      </c>
      <c r="I282" s="9">
        <f>A282&amp;'x'&amp;B282</f>
        <v/>
      </c>
      <c r="J282" s="9">
        <f>IF(AND(G282&gt;0.9,G282&lt;1),"OK","CHECK")</f>
        <v/>
      </c>
    </row>
    <row r="283">
      <c r="A283" s="9" t="n">
        <v>25</v>
      </c>
      <c r="B283" s="9" t="n">
        <v>6</v>
      </c>
      <c r="C283" s="9" t="n">
        <v>19</v>
      </c>
      <c r="D283" s="9" t="n">
        <v>14</v>
      </c>
      <c r="E283" s="10">
        <f>COMBIN(A283,D283)/COMBIN(A283-B283,D283)</f>
        <v/>
      </c>
      <c r="F283" s="11">
        <f>ROUNDUP(E283*Controls!$B$4,4)</f>
        <v/>
      </c>
      <c r="G283" s="12">
        <f>F283/E283</f>
        <v/>
      </c>
      <c r="H283" s="10">
        <f>(A283-B283-(D283-1))/(A283-(D283-1))</f>
        <v/>
      </c>
      <c r="I283" s="9">
        <f>A283&amp;'x'&amp;B283</f>
        <v/>
      </c>
      <c r="J283" s="9">
        <f>IF(AND(G283&gt;0.9,G283&lt;1),"OK","CHECK")</f>
        <v/>
      </c>
    </row>
    <row r="284">
      <c r="A284" s="9" t="n">
        <v>25</v>
      </c>
      <c r="B284" s="9" t="n">
        <v>6</v>
      </c>
      <c r="C284" s="9" t="n">
        <v>19</v>
      </c>
      <c r="D284" s="9" t="n">
        <v>15</v>
      </c>
      <c r="E284" s="10">
        <f>COMBIN(A284,D284)/COMBIN(A284-B284,D284)</f>
        <v/>
      </c>
      <c r="F284" s="11">
        <f>ROUNDUP(E284*Controls!$B$4,4)</f>
        <v/>
      </c>
      <c r="G284" s="12">
        <f>F284/E284</f>
        <v/>
      </c>
      <c r="H284" s="10">
        <f>(A284-B284-(D284-1))/(A284-(D284-1))</f>
        <v/>
      </c>
      <c r="I284" s="9">
        <f>A284&amp;'x'&amp;B284</f>
        <v/>
      </c>
      <c r="J284" s="9">
        <f>IF(AND(G284&gt;0.9,G284&lt;1),"OK","CHECK")</f>
        <v/>
      </c>
    </row>
    <row r="285">
      <c r="A285" s="9" t="n">
        <v>25</v>
      </c>
      <c r="B285" s="9" t="n">
        <v>6</v>
      </c>
      <c r="C285" s="9" t="n">
        <v>19</v>
      </c>
      <c r="D285" s="9" t="n">
        <v>16</v>
      </c>
      <c r="E285" s="10">
        <f>COMBIN(A285,D285)/COMBIN(A285-B285,D285)</f>
        <v/>
      </c>
      <c r="F285" s="11">
        <f>ROUNDUP(E285*Controls!$B$4,4)</f>
        <v/>
      </c>
      <c r="G285" s="12">
        <f>F285/E285</f>
        <v/>
      </c>
      <c r="H285" s="10">
        <f>(A285-B285-(D285-1))/(A285-(D285-1))</f>
        <v/>
      </c>
      <c r="I285" s="9">
        <f>A285&amp;'x'&amp;B285</f>
        <v/>
      </c>
      <c r="J285" s="9">
        <f>IF(AND(G285&gt;0.9,G285&lt;1),"OK","CHECK")</f>
        <v/>
      </c>
    </row>
    <row r="286">
      <c r="A286" s="9" t="n">
        <v>25</v>
      </c>
      <c r="B286" s="9" t="n">
        <v>6</v>
      </c>
      <c r="C286" s="9" t="n">
        <v>19</v>
      </c>
      <c r="D286" s="9" t="n">
        <v>17</v>
      </c>
      <c r="E286" s="10">
        <f>COMBIN(A286,D286)/COMBIN(A286-B286,D286)</f>
        <v/>
      </c>
      <c r="F286" s="11">
        <f>ROUNDUP(E286*Controls!$B$4,4)</f>
        <v/>
      </c>
      <c r="G286" s="12">
        <f>F286/E286</f>
        <v/>
      </c>
      <c r="H286" s="10">
        <f>(A286-B286-(D286-1))/(A286-(D286-1))</f>
        <v/>
      </c>
      <c r="I286" s="9">
        <f>A286&amp;'x'&amp;B286</f>
        <v/>
      </c>
      <c r="J286" s="9">
        <f>IF(AND(G286&gt;0.9,G286&lt;1),"OK","CHECK")</f>
        <v/>
      </c>
    </row>
    <row r="287">
      <c r="A287" s="9" t="n">
        <v>25</v>
      </c>
      <c r="B287" s="9" t="n">
        <v>6</v>
      </c>
      <c r="C287" s="9" t="n">
        <v>19</v>
      </c>
      <c r="D287" s="9" t="n">
        <v>18</v>
      </c>
      <c r="E287" s="10">
        <f>COMBIN(A287,D287)/COMBIN(A287-B287,D287)</f>
        <v/>
      </c>
      <c r="F287" s="11">
        <f>ROUNDUP(E287*Controls!$B$4,4)</f>
        <v/>
      </c>
      <c r="G287" s="12">
        <f>F287/E287</f>
        <v/>
      </c>
      <c r="H287" s="10">
        <f>(A287-B287-(D287-1))/(A287-(D287-1))</f>
        <v/>
      </c>
      <c r="I287" s="9">
        <f>A287&amp;'x'&amp;B287</f>
        <v/>
      </c>
      <c r="J287" s="9">
        <f>IF(AND(G287&gt;0.9,G287&lt;1),"OK","CHECK")</f>
        <v/>
      </c>
    </row>
    <row r="288">
      <c r="A288" s="9" t="n">
        <v>25</v>
      </c>
      <c r="B288" s="9" t="n">
        <v>6</v>
      </c>
      <c r="C288" s="9" t="n">
        <v>19</v>
      </c>
      <c r="D288" s="9" t="n">
        <v>19</v>
      </c>
      <c r="E288" s="10">
        <f>COMBIN(A288,D288)/COMBIN(A288-B288,D288)</f>
        <v/>
      </c>
      <c r="F288" s="11">
        <f>ROUNDUP(E288*Controls!$B$4,4)</f>
        <v/>
      </c>
      <c r="G288" s="12">
        <f>F288/E288</f>
        <v/>
      </c>
      <c r="H288" s="10">
        <f>(A288-B288-(D288-1))/(A288-(D288-1))</f>
        <v/>
      </c>
      <c r="I288" s="9">
        <f>A288&amp;'x'&amp;B288</f>
        <v/>
      </c>
      <c r="J288" s="9">
        <f>IF(AND(G288&gt;0.9,G288&lt;1),"OK","CHECK")</f>
        <v/>
      </c>
    </row>
    <row r="289">
      <c r="A289" s="9" t="n">
        <v>25</v>
      </c>
      <c r="B289" s="9" t="n">
        <v>7</v>
      </c>
      <c r="C289" s="9" t="n">
        <v>18</v>
      </c>
      <c r="D289" s="9" t="n">
        <v>1</v>
      </c>
      <c r="E289" s="10">
        <f>COMBIN(A289,D289)/COMBIN(A289-B289,D289)</f>
        <v/>
      </c>
      <c r="F289" s="11">
        <f>ROUNDUP(E289*Controls!$B$4,4)</f>
        <v/>
      </c>
      <c r="G289" s="12">
        <f>F289/E289</f>
        <v/>
      </c>
      <c r="H289" s="10">
        <f>(A289-B289-(D289-1))/(A289-(D289-1))</f>
        <v/>
      </c>
      <c r="I289" s="9">
        <f>A289&amp;'x'&amp;B289</f>
        <v/>
      </c>
      <c r="J289" s="9">
        <f>IF(AND(G289&gt;0.9,G289&lt;1),"OK","CHECK")</f>
        <v/>
      </c>
    </row>
    <row r="290">
      <c r="A290" s="9" t="n">
        <v>25</v>
      </c>
      <c r="B290" s="9" t="n">
        <v>7</v>
      </c>
      <c r="C290" s="9" t="n">
        <v>18</v>
      </c>
      <c r="D290" s="9" t="n">
        <v>2</v>
      </c>
      <c r="E290" s="10">
        <f>COMBIN(A290,D290)/COMBIN(A290-B290,D290)</f>
        <v/>
      </c>
      <c r="F290" s="11">
        <f>ROUNDUP(E290*Controls!$B$4,4)</f>
        <v/>
      </c>
      <c r="G290" s="12">
        <f>F290/E290</f>
        <v/>
      </c>
      <c r="H290" s="10">
        <f>(A290-B290-(D290-1))/(A290-(D290-1))</f>
        <v/>
      </c>
      <c r="I290" s="9">
        <f>A290&amp;'x'&amp;B290</f>
        <v/>
      </c>
      <c r="J290" s="9">
        <f>IF(AND(G290&gt;0.9,G290&lt;1),"OK","CHECK")</f>
        <v/>
      </c>
    </row>
    <row r="291">
      <c r="A291" s="9" t="n">
        <v>25</v>
      </c>
      <c r="B291" s="9" t="n">
        <v>7</v>
      </c>
      <c r="C291" s="9" t="n">
        <v>18</v>
      </c>
      <c r="D291" s="9" t="n">
        <v>3</v>
      </c>
      <c r="E291" s="10">
        <f>COMBIN(A291,D291)/COMBIN(A291-B291,D291)</f>
        <v/>
      </c>
      <c r="F291" s="11">
        <f>ROUNDUP(E291*Controls!$B$4,4)</f>
        <v/>
      </c>
      <c r="G291" s="12">
        <f>F291/E291</f>
        <v/>
      </c>
      <c r="H291" s="10">
        <f>(A291-B291-(D291-1))/(A291-(D291-1))</f>
        <v/>
      </c>
      <c r="I291" s="9">
        <f>A291&amp;'x'&amp;B291</f>
        <v/>
      </c>
      <c r="J291" s="9">
        <f>IF(AND(G291&gt;0.9,G291&lt;1),"OK","CHECK")</f>
        <v/>
      </c>
    </row>
    <row r="292">
      <c r="A292" s="9" t="n">
        <v>25</v>
      </c>
      <c r="B292" s="9" t="n">
        <v>7</v>
      </c>
      <c r="C292" s="9" t="n">
        <v>18</v>
      </c>
      <c r="D292" s="9" t="n">
        <v>4</v>
      </c>
      <c r="E292" s="10">
        <f>COMBIN(A292,D292)/COMBIN(A292-B292,D292)</f>
        <v/>
      </c>
      <c r="F292" s="11">
        <f>ROUNDUP(E292*Controls!$B$4,4)</f>
        <v/>
      </c>
      <c r="G292" s="12">
        <f>F292/E292</f>
        <v/>
      </c>
      <c r="H292" s="10">
        <f>(A292-B292-(D292-1))/(A292-(D292-1))</f>
        <v/>
      </c>
      <c r="I292" s="9">
        <f>A292&amp;'x'&amp;B292</f>
        <v/>
      </c>
      <c r="J292" s="9">
        <f>IF(AND(G292&gt;0.9,G292&lt;1),"OK","CHECK")</f>
        <v/>
      </c>
    </row>
    <row r="293">
      <c r="A293" s="9" t="n">
        <v>25</v>
      </c>
      <c r="B293" s="9" t="n">
        <v>7</v>
      </c>
      <c r="C293" s="9" t="n">
        <v>18</v>
      </c>
      <c r="D293" s="9" t="n">
        <v>5</v>
      </c>
      <c r="E293" s="10">
        <f>COMBIN(A293,D293)/COMBIN(A293-B293,D293)</f>
        <v/>
      </c>
      <c r="F293" s="11">
        <f>ROUNDUP(E293*Controls!$B$4,4)</f>
        <v/>
      </c>
      <c r="G293" s="12">
        <f>F293/E293</f>
        <v/>
      </c>
      <c r="H293" s="10">
        <f>(A293-B293-(D293-1))/(A293-(D293-1))</f>
        <v/>
      </c>
      <c r="I293" s="9">
        <f>A293&amp;'x'&amp;B293</f>
        <v/>
      </c>
      <c r="J293" s="9">
        <f>IF(AND(G293&gt;0.9,G293&lt;1),"OK","CHECK")</f>
        <v/>
      </c>
    </row>
    <row r="294">
      <c r="A294" s="9" t="n">
        <v>25</v>
      </c>
      <c r="B294" s="9" t="n">
        <v>7</v>
      </c>
      <c r="C294" s="9" t="n">
        <v>18</v>
      </c>
      <c r="D294" s="9" t="n">
        <v>6</v>
      </c>
      <c r="E294" s="10">
        <f>COMBIN(A294,D294)/COMBIN(A294-B294,D294)</f>
        <v/>
      </c>
      <c r="F294" s="11">
        <f>ROUNDUP(E294*Controls!$B$4,4)</f>
        <v/>
      </c>
      <c r="G294" s="12">
        <f>F294/E294</f>
        <v/>
      </c>
      <c r="H294" s="10">
        <f>(A294-B294-(D294-1))/(A294-(D294-1))</f>
        <v/>
      </c>
      <c r="I294" s="9">
        <f>A294&amp;'x'&amp;B294</f>
        <v/>
      </c>
      <c r="J294" s="9">
        <f>IF(AND(G294&gt;0.9,G294&lt;1),"OK","CHECK")</f>
        <v/>
      </c>
    </row>
    <row r="295">
      <c r="A295" s="9" t="n">
        <v>25</v>
      </c>
      <c r="B295" s="9" t="n">
        <v>7</v>
      </c>
      <c r="C295" s="9" t="n">
        <v>18</v>
      </c>
      <c r="D295" s="9" t="n">
        <v>7</v>
      </c>
      <c r="E295" s="10">
        <f>COMBIN(A295,D295)/COMBIN(A295-B295,D295)</f>
        <v/>
      </c>
      <c r="F295" s="11">
        <f>ROUNDUP(E295*Controls!$B$4,4)</f>
        <v/>
      </c>
      <c r="G295" s="12">
        <f>F295/E295</f>
        <v/>
      </c>
      <c r="H295" s="10">
        <f>(A295-B295-(D295-1))/(A295-(D295-1))</f>
        <v/>
      </c>
      <c r="I295" s="9">
        <f>A295&amp;'x'&amp;B295</f>
        <v/>
      </c>
      <c r="J295" s="9">
        <f>IF(AND(G295&gt;0.9,G295&lt;1),"OK","CHECK")</f>
        <v/>
      </c>
    </row>
    <row r="296">
      <c r="A296" s="9" t="n">
        <v>25</v>
      </c>
      <c r="B296" s="9" t="n">
        <v>7</v>
      </c>
      <c r="C296" s="9" t="n">
        <v>18</v>
      </c>
      <c r="D296" s="9" t="n">
        <v>8</v>
      </c>
      <c r="E296" s="10">
        <f>COMBIN(A296,D296)/COMBIN(A296-B296,D296)</f>
        <v/>
      </c>
      <c r="F296" s="11">
        <f>ROUNDUP(E296*Controls!$B$4,4)</f>
        <v/>
      </c>
      <c r="G296" s="12">
        <f>F296/E296</f>
        <v/>
      </c>
      <c r="H296" s="10">
        <f>(A296-B296-(D296-1))/(A296-(D296-1))</f>
        <v/>
      </c>
      <c r="I296" s="9">
        <f>A296&amp;'x'&amp;B296</f>
        <v/>
      </c>
      <c r="J296" s="9">
        <f>IF(AND(G296&gt;0.9,G296&lt;1),"OK","CHECK")</f>
        <v/>
      </c>
    </row>
    <row r="297">
      <c r="A297" s="9" t="n">
        <v>25</v>
      </c>
      <c r="B297" s="9" t="n">
        <v>7</v>
      </c>
      <c r="C297" s="9" t="n">
        <v>18</v>
      </c>
      <c r="D297" s="9" t="n">
        <v>9</v>
      </c>
      <c r="E297" s="10">
        <f>COMBIN(A297,D297)/COMBIN(A297-B297,D297)</f>
        <v/>
      </c>
      <c r="F297" s="11">
        <f>ROUNDUP(E297*Controls!$B$4,4)</f>
        <v/>
      </c>
      <c r="G297" s="12">
        <f>F297/E297</f>
        <v/>
      </c>
      <c r="H297" s="10">
        <f>(A297-B297-(D297-1))/(A297-(D297-1))</f>
        <v/>
      </c>
      <c r="I297" s="9">
        <f>A297&amp;'x'&amp;B297</f>
        <v/>
      </c>
      <c r="J297" s="9">
        <f>IF(AND(G297&gt;0.9,G297&lt;1),"OK","CHECK")</f>
        <v/>
      </c>
    </row>
    <row r="298">
      <c r="A298" s="9" t="n">
        <v>25</v>
      </c>
      <c r="B298" s="9" t="n">
        <v>7</v>
      </c>
      <c r="C298" s="9" t="n">
        <v>18</v>
      </c>
      <c r="D298" s="9" t="n">
        <v>10</v>
      </c>
      <c r="E298" s="10">
        <f>COMBIN(A298,D298)/COMBIN(A298-B298,D298)</f>
        <v/>
      </c>
      <c r="F298" s="11">
        <f>ROUNDUP(E298*Controls!$B$4,4)</f>
        <v/>
      </c>
      <c r="G298" s="12">
        <f>F298/E298</f>
        <v/>
      </c>
      <c r="H298" s="10">
        <f>(A298-B298-(D298-1))/(A298-(D298-1))</f>
        <v/>
      </c>
      <c r="I298" s="9">
        <f>A298&amp;'x'&amp;B298</f>
        <v/>
      </c>
      <c r="J298" s="9">
        <f>IF(AND(G298&gt;0.9,G298&lt;1),"OK","CHECK")</f>
        <v/>
      </c>
    </row>
    <row r="299">
      <c r="A299" s="9" t="n">
        <v>25</v>
      </c>
      <c r="B299" s="9" t="n">
        <v>7</v>
      </c>
      <c r="C299" s="9" t="n">
        <v>18</v>
      </c>
      <c r="D299" s="9" t="n">
        <v>11</v>
      </c>
      <c r="E299" s="10">
        <f>COMBIN(A299,D299)/COMBIN(A299-B299,D299)</f>
        <v/>
      </c>
      <c r="F299" s="11">
        <f>ROUNDUP(E299*Controls!$B$4,4)</f>
        <v/>
      </c>
      <c r="G299" s="12">
        <f>F299/E299</f>
        <v/>
      </c>
      <c r="H299" s="10">
        <f>(A299-B299-(D299-1))/(A299-(D299-1))</f>
        <v/>
      </c>
      <c r="I299" s="9">
        <f>A299&amp;'x'&amp;B299</f>
        <v/>
      </c>
      <c r="J299" s="9">
        <f>IF(AND(G299&gt;0.9,G299&lt;1),"OK","CHECK")</f>
        <v/>
      </c>
    </row>
    <row r="300">
      <c r="A300" s="9" t="n">
        <v>25</v>
      </c>
      <c r="B300" s="9" t="n">
        <v>7</v>
      </c>
      <c r="C300" s="9" t="n">
        <v>18</v>
      </c>
      <c r="D300" s="9" t="n">
        <v>12</v>
      </c>
      <c r="E300" s="10">
        <f>COMBIN(A300,D300)/COMBIN(A300-B300,D300)</f>
        <v/>
      </c>
      <c r="F300" s="11">
        <f>ROUNDUP(E300*Controls!$B$4,4)</f>
        <v/>
      </c>
      <c r="G300" s="12">
        <f>F300/E300</f>
        <v/>
      </c>
      <c r="H300" s="10">
        <f>(A300-B300-(D300-1))/(A300-(D300-1))</f>
        <v/>
      </c>
      <c r="I300" s="9">
        <f>A300&amp;'x'&amp;B300</f>
        <v/>
      </c>
      <c r="J300" s="9">
        <f>IF(AND(G300&gt;0.9,G300&lt;1),"OK","CHECK")</f>
        <v/>
      </c>
    </row>
    <row r="301">
      <c r="A301" s="9" t="n">
        <v>25</v>
      </c>
      <c r="B301" s="9" t="n">
        <v>7</v>
      </c>
      <c r="C301" s="9" t="n">
        <v>18</v>
      </c>
      <c r="D301" s="9" t="n">
        <v>13</v>
      </c>
      <c r="E301" s="10">
        <f>COMBIN(A301,D301)/COMBIN(A301-B301,D301)</f>
        <v/>
      </c>
      <c r="F301" s="11">
        <f>ROUNDUP(E301*Controls!$B$4,4)</f>
        <v/>
      </c>
      <c r="G301" s="12">
        <f>F301/E301</f>
        <v/>
      </c>
      <c r="H301" s="10">
        <f>(A301-B301-(D301-1))/(A301-(D301-1))</f>
        <v/>
      </c>
      <c r="I301" s="9">
        <f>A301&amp;'x'&amp;B301</f>
        <v/>
      </c>
      <c r="J301" s="9">
        <f>IF(AND(G301&gt;0.9,G301&lt;1),"OK","CHECK")</f>
        <v/>
      </c>
    </row>
    <row r="302">
      <c r="A302" s="9" t="n">
        <v>25</v>
      </c>
      <c r="B302" s="9" t="n">
        <v>7</v>
      </c>
      <c r="C302" s="9" t="n">
        <v>18</v>
      </c>
      <c r="D302" s="9" t="n">
        <v>14</v>
      </c>
      <c r="E302" s="10">
        <f>COMBIN(A302,D302)/COMBIN(A302-B302,D302)</f>
        <v/>
      </c>
      <c r="F302" s="11">
        <f>ROUNDUP(E302*Controls!$B$4,4)</f>
        <v/>
      </c>
      <c r="G302" s="12">
        <f>F302/E302</f>
        <v/>
      </c>
      <c r="H302" s="10">
        <f>(A302-B302-(D302-1))/(A302-(D302-1))</f>
        <v/>
      </c>
      <c r="I302" s="9">
        <f>A302&amp;'x'&amp;B302</f>
        <v/>
      </c>
      <c r="J302" s="9">
        <f>IF(AND(G302&gt;0.9,G302&lt;1),"OK","CHECK")</f>
        <v/>
      </c>
    </row>
    <row r="303">
      <c r="A303" s="9" t="n">
        <v>25</v>
      </c>
      <c r="B303" s="9" t="n">
        <v>7</v>
      </c>
      <c r="C303" s="9" t="n">
        <v>18</v>
      </c>
      <c r="D303" s="9" t="n">
        <v>15</v>
      </c>
      <c r="E303" s="10">
        <f>COMBIN(A303,D303)/COMBIN(A303-B303,D303)</f>
        <v/>
      </c>
      <c r="F303" s="11">
        <f>ROUNDUP(E303*Controls!$B$4,4)</f>
        <v/>
      </c>
      <c r="G303" s="12">
        <f>F303/E303</f>
        <v/>
      </c>
      <c r="H303" s="10">
        <f>(A303-B303-(D303-1))/(A303-(D303-1))</f>
        <v/>
      </c>
      <c r="I303" s="9">
        <f>A303&amp;'x'&amp;B303</f>
        <v/>
      </c>
      <c r="J303" s="9">
        <f>IF(AND(G303&gt;0.9,G303&lt;1),"OK","CHECK")</f>
        <v/>
      </c>
    </row>
    <row r="304">
      <c r="A304" s="9" t="n">
        <v>25</v>
      </c>
      <c r="B304" s="9" t="n">
        <v>7</v>
      </c>
      <c r="C304" s="9" t="n">
        <v>18</v>
      </c>
      <c r="D304" s="9" t="n">
        <v>16</v>
      </c>
      <c r="E304" s="10">
        <f>COMBIN(A304,D304)/COMBIN(A304-B304,D304)</f>
        <v/>
      </c>
      <c r="F304" s="11">
        <f>ROUNDUP(E304*Controls!$B$4,4)</f>
        <v/>
      </c>
      <c r="G304" s="12">
        <f>F304/E304</f>
        <v/>
      </c>
      <c r="H304" s="10">
        <f>(A304-B304-(D304-1))/(A304-(D304-1))</f>
        <v/>
      </c>
      <c r="I304" s="9">
        <f>A304&amp;'x'&amp;B304</f>
        <v/>
      </c>
      <c r="J304" s="9">
        <f>IF(AND(G304&gt;0.9,G304&lt;1),"OK","CHECK")</f>
        <v/>
      </c>
    </row>
    <row r="305">
      <c r="A305" s="9" t="n">
        <v>25</v>
      </c>
      <c r="B305" s="9" t="n">
        <v>7</v>
      </c>
      <c r="C305" s="9" t="n">
        <v>18</v>
      </c>
      <c r="D305" s="9" t="n">
        <v>17</v>
      </c>
      <c r="E305" s="10">
        <f>COMBIN(A305,D305)/COMBIN(A305-B305,D305)</f>
        <v/>
      </c>
      <c r="F305" s="11">
        <f>ROUNDUP(E305*Controls!$B$4,4)</f>
        <v/>
      </c>
      <c r="G305" s="12">
        <f>F305/E305</f>
        <v/>
      </c>
      <c r="H305" s="10">
        <f>(A305-B305-(D305-1))/(A305-(D305-1))</f>
        <v/>
      </c>
      <c r="I305" s="9">
        <f>A305&amp;'x'&amp;B305</f>
        <v/>
      </c>
      <c r="J305" s="9">
        <f>IF(AND(G305&gt;0.9,G305&lt;1),"OK","CHECK")</f>
        <v/>
      </c>
    </row>
    <row r="306">
      <c r="A306" s="9" t="n">
        <v>25</v>
      </c>
      <c r="B306" s="9" t="n">
        <v>7</v>
      </c>
      <c r="C306" s="9" t="n">
        <v>18</v>
      </c>
      <c r="D306" s="9" t="n">
        <v>18</v>
      </c>
      <c r="E306" s="10">
        <f>COMBIN(A306,D306)/COMBIN(A306-B306,D306)</f>
        <v/>
      </c>
      <c r="F306" s="11">
        <f>ROUNDUP(E306*Controls!$B$4,4)</f>
        <v/>
      </c>
      <c r="G306" s="12">
        <f>F306/E306</f>
        <v/>
      </c>
      <c r="H306" s="10">
        <f>(A306-B306-(D306-1))/(A306-(D306-1))</f>
        <v/>
      </c>
      <c r="I306" s="9">
        <f>A306&amp;'x'&amp;B306</f>
        <v/>
      </c>
      <c r="J306" s="9">
        <f>IF(AND(G306&gt;0.9,G306&lt;1),"OK","CHECK")</f>
        <v/>
      </c>
    </row>
    <row r="307">
      <c r="A307" s="9" t="n">
        <v>25</v>
      </c>
      <c r="B307" s="9" t="n">
        <v>8</v>
      </c>
      <c r="C307" s="9" t="n">
        <v>17</v>
      </c>
      <c r="D307" s="9" t="n">
        <v>1</v>
      </c>
      <c r="E307" s="10">
        <f>COMBIN(A307,D307)/COMBIN(A307-B307,D307)</f>
        <v/>
      </c>
      <c r="F307" s="11">
        <f>ROUNDUP(E307*Controls!$B$4,4)</f>
        <v/>
      </c>
      <c r="G307" s="12">
        <f>F307/E307</f>
        <v/>
      </c>
      <c r="H307" s="10">
        <f>(A307-B307-(D307-1))/(A307-(D307-1))</f>
        <v/>
      </c>
      <c r="I307" s="9">
        <f>A307&amp;'x'&amp;B307</f>
        <v/>
      </c>
      <c r="J307" s="9">
        <f>IF(AND(G307&gt;0.9,G307&lt;1),"OK","CHECK")</f>
        <v/>
      </c>
    </row>
    <row r="308">
      <c r="A308" s="9" t="n">
        <v>25</v>
      </c>
      <c r="B308" s="9" t="n">
        <v>8</v>
      </c>
      <c r="C308" s="9" t="n">
        <v>17</v>
      </c>
      <c r="D308" s="9" t="n">
        <v>2</v>
      </c>
      <c r="E308" s="10">
        <f>COMBIN(A308,D308)/COMBIN(A308-B308,D308)</f>
        <v/>
      </c>
      <c r="F308" s="11">
        <f>ROUNDUP(E308*Controls!$B$4,4)</f>
        <v/>
      </c>
      <c r="G308" s="12">
        <f>F308/E308</f>
        <v/>
      </c>
      <c r="H308" s="10">
        <f>(A308-B308-(D308-1))/(A308-(D308-1))</f>
        <v/>
      </c>
      <c r="I308" s="9">
        <f>A308&amp;'x'&amp;B308</f>
        <v/>
      </c>
      <c r="J308" s="9">
        <f>IF(AND(G308&gt;0.9,G308&lt;1),"OK","CHECK")</f>
        <v/>
      </c>
    </row>
    <row r="309">
      <c r="A309" s="9" t="n">
        <v>25</v>
      </c>
      <c r="B309" s="9" t="n">
        <v>8</v>
      </c>
      <c r="C309" s="9" t="n">
        <v>17</v>
      </c>
      <c r="D309" s="9" t="n">
        <v>3</v>
      </c>
      <c r="E309" s="10">
        <f>COMBIN(A309,D309)/COMBIN(A309-B309,D309)</f>
        <v/>
      </c>
      <c r="F309" s="11">
        <f>ROUNDUP(E309*Controls!$B$4,4)</f>
        <v/>
      </c>
      <c r="G309" s="12">
        <f>F309/E309</f>
        <v/>
      </c>
      <c r="H309" s="10">
        <f>(A309-B309-(D309-1))/(A309-(D309-1))</f>
        <v/>
      </c>
      <c r="I309" s="9">
        <f>A309&amp;'x'&amp;B309</f>
        <v/>
      </c>
      <c r="J309" s="9">
        <f>IF(AND(G309&gt;0.9,G309&lt;1),"OK","CHECK")</f>
        <v/>
      </c>
    </row>
    <row r="310">
      <c r="A310" s="9" t="n">
        <v>25</v>
      </c>
      <c r="B310" s="9" t="n">
        <v>8</v>
      </c>
      <c r="C310" s="9" t="n">
        <v>17</v>
      </c>
      <c r="D310" s="9" t="n">
        <v>4</v>
      </c>
      <c r="E310" s="10">
        <f>COMBIN(A310,D310)/COMBIN(A310-B310,D310)</f>
        <v/>
      </c>
      <c r="F310" s="11">
        <f>ROUNDUP(E310*Controls!$B$4,4)</f>
        <v/>
      </c>
      <c r="G310" s="12">
        <f>F310/E310</f>
        <v/>
      </c>
      <c r="H310" s="10">
        <f>(A310-B310-(D310-1))/(A310-(D310-1))</f>
        <v/>
      </c>
      <c r="I310" s="9">
        <f>A310&amp;'x'&amp;B310</f>
        <v/>
      </c>
      <c r="J310" s="9">
        <f>IF(AND(G310&gt;0.9,G310&lt;1),"OK","CHECK")</f>
        <v/>
      </c>
    </row>
    <row r="311">
      <c r="A311" s="9" t="n">
        <v>25</v>
      </c>
      <c r="B311" s="9" t="n">
        <v>8</v>
      </c>
      <c r="C311" s="9" t="n">
        <v>17</v>
      </c>
      <c r="D311" s="9" t="n">
        <v>5</v>
      </c>
      <c r="E311" s="10">
        <f>COMBIN(A311,D311)/COMBIN(A311-B311,D311)</f>
        <v/>
      </c>
      <c r="F311" s="11">
        <f>ROUNDUP(E311*Controls!$B$4,4)</f>
        <v/>
      </c>
      <c r="G311" s="12">
        <f>F311/E311</f>
        <v/>
      </c>
      <c r="H311" s="10">
        <f>(A311-B311-(D311-1))/(A311-(D311-1))</f>
        <v/>
      </c>
      <c r="I311" s="9">
        <f>A311&amp;'x'&amp;B311</f>
        <v/>
      </c>
      <c r="J311" s="9">
        <f>IF(AND(G311&gt;0.9,G311&lt;1),"OK","CHECK")</f>
        <v/>
      </c>
    </row>
    <row r="312">
      <c r="A312" s="9" t="n">
        <v>25</v>
      </c>
      <c r="B312" s="9" t="n">
        <v>8</v>
      </c>
      <c r="C312" s="9" t="n">
        <v>17</v>
      </c>
      <c r="D312" s="9" t="n">
        <v>6</v>
      </c>
      <c r="E312" s="10">
        <f>COMBIN(A312,D312)/COMBIN(A312-B312,D312)</f>
        <v/>
      </c>
      <c r="F312" s="11">
        <f>ROUNDUP(E312*Controls!$B$4,4)</f>
        <v/>
      </c>
      <c r="G312" s="12">
        <f>F312/E312</f>
        <v/>
      </c>
      <c r="H312" s="10">
        <f>(A312-B312-(D312-1))/(A312-(D312-1))</f>
        <v/>
      </c>
      <c r="I312" s="9">
        <f>A312&amp;'x'&amp;B312</f>
        <v/>
      </c>
      <c r="J312" s="9">
        <f>IF(AND(G312&gt;0.9,G312&lt;1),"OK","CHECK")</f>
        <v/>
      </c>
    </row>
    <row r="313">
      <c r="A313" s="9" t="n">
        <v>25</v>
      </c>
      <c r="B313" s="9" t="n">
        <v>8</v>
      </c>
      <c r="C313" s="9" t="n">
        <v>17</v>
      </c>
      <c r="D313" s="9" t="n">
        <v>7</v>
      </c>
      <c r="E313" s="10">
        <f>COMBIN(A313,D313)/COMBIN(A313-B313,D313)</f>
        <v/>
      </c>
      <c r="F313" s="11">
        <f>ROUNDUP(E313*Controls!$B$4,4)</f>
        <v/>
      </c>
      <c r="G313" s="12">
        <f>F313/E313</f>
        <v/>
      </c>
      <c r="H313" s="10">
        <f>(A313-B313-(D313-1))/(A313-(D313-1))</f>
        <v/>
      </c>
      <c r="I313" s="9">
        <f>A313&amp;'x'&amp;B313</f>
        <v/>
      </c>
      <c r="J313" s="9">
        <f>IF(AND(G313&gt;0.9,G313&lt;1),"OK","CHECK")</f>
        <v/>
      </c>
    </row>
    <row r="314">
      <c r="A314" s="9" t="n">
        <v>25</v>
      </c>
      <c r="B314" s="9" t="n">
        <v>8</v>
      </c>
      <c r="C314" s="9" t="n">
        <v>17</v>
      </c>
      <c r="D314" s="9" t="n">
        <v>8</v>
      </c>
      <c r="E314" s="10">
        <f>COMBIN(A314,D314)/COMBIN(A314-B314,D314)</f>
        <v/>
      </c>
      <c r="F314" s="11">
        <f>ROUNDUP(E314*Controls!$B$4,4)</f>
        <v/>
      </c>
      <c r="G314" s="12">
        <f>F314/E314</f>
        <v/>
      </c>
      <c r="H314" s="10">
        <f>(A314-B314-(D314-1))/(A314-(D314-1))</f>
        <v/>
      </c>
      <c r="I314" s="9">
        <f>A314&amp;'x'&amp;B314</f>
        <v/>
      </c>
      <c r="J314" s="9">
        <f>IF(AND(G314&gt;0.9,G314&lt;1),"OK","CHECK")</f>
        <v/>
      </c>
    </row>
    <row r="315">
      <c r="A315" s="9" t="n">
        <v>25</v>
      </c>
      <c r="B315" s="9" t="n">
        <v>8</v>
      </c>
      <c r="C315" s="9" t="n">
        <v>17</v>
      </c>
      <c r="D315" s="9" t="n">
        <v>9</v>
      </c>
      <c r="E315" s="10">
        <f>COMBIN(A315,D315)/COMBIN(A315-B315,D315)</f>
        <v/>
      </c>
      <c r="F315" s="11">
        <f>ROUNDUP(E315*Controls!$B$4,4)</f>
        <v/>
      </c>
      <c r="G315" s="12">
        <f>F315/E315</f>
        <v/>
      </c>
      <c r="H315" s="10">
        <f>(A315-B315-(D315-1))/(A315-(D315-1))</f>
        <v/>
      </c>
      <c r="I315" s="9">
        <f>A315&amp;'x'&amp;B315</f>
        <v/>
      </c>
      <c r="J315" s="9">
        <f>IF(AND(G315&gt;0.9,G315&lt;1),"OK","CHECK")</f>
        <v/>
      </c>
    </row>
    <row r="316">
      <c r="A316" s="9" t="n">
        <v>25</v>
      </c>
      <c r="B316" s="9" t="n">
        <v>8</v>
      </c>
      <c r="C316" s="9" t="n">
        <v>17</v>
      </c>
      <c r="D316" s="9" t="n">
        <v>10</v>
      </c>
      <c r="E316" s="10">
        <f>COMBIN(A316,D316)/COMBIN(A316-B316,D316)</f>
        <v/>
      </c>
      <c r="F316" s="11">
        <f>ROUNDUP(E316*Controls!$B$4,4)</f>
        <v/>
      </c>
      <c r="G316" s="12">
        <f>F316/E316</f>
        <v/>
      </c>
      <c r="H316" s="10">
        <f>(A316-B316-(D316-1))/(A316-(D316-1))</f>
        <v/>
      </c>
      <c r="I316" s="9">
        <f>A316&amp;'x'&amp;B316</f>
        <v/>
      </c>
      <c r="J316" s="9">
        <f>IF(AND(G316&gt;0.9,G316&lt;1),"OK","CHECK")</f>
        <v/>
      </c>
    </row>
    <row r="317">
      <c r="A317" s="9" t="n">
        <v>25</v>
      </c>
      <c r="B317" s="9" t="n">
        <v>8</v>
      </c>
      <c r="C317" s="9" t="n">
        <v>17</v>
      </c>
      <c r="D317" s="9" t="n">
        <v>11</v>
      </c>
      <c r="E317" s="10">
        <f>COMBIN(A317,D317)/COMBIN(A317-B317,D317)</f>
        <v/>
      </c>
      <c r="F317" s="11">
        <f>ROUNDUP(E317*Controls!$B$4,4)</f>
        <v/>
      </c>
      <c r="G317" s="12">
        <f>F317/E317</f>
        <v/>
      </c>
      <c r="H317" s="10">
        <f>(A317-B317-(D317-1))/(A317-(D317-1))</f>
        <v/>
      </c>
      <c r="I317" s="9">
        <f>A317&amp;'x'&amp;B317</f>
        <v/>
      </c>
      <c r="J317" s="9">
        <f>IF(AND(G317&gt;0.9,G317&lt;1),"OK","CHECK")</f>
        <v/>
      </c>
    </row>
    <row r="318">
      <c r="A318" s="9" t="n">
        <v>25</v>
      </c>
      <c r="B318" s="9" t="n">
        <v>8</v>
      </c>
      <c r="C318" s="9" t="n">
        <v>17</v>
      </c>
      <c r="D318" s="9" t="n">
        <v>12</v>
      </c>
      <c r="E318" s="10">
        <f>COMBIN(A318,D318)/COMBIN(A318-B318,D318)</f>
        <v/>
      </c>
      <c r="F318" s="11">
        <f>ROUNDUP(E318*Controls!$B$4,4)</f>
        <v/>
      </c>
      <c r="G318" s="12">
        <f>F318/E318</f>
        <v/>
      </c>
      <c r="H318" s="10">
        <f>(A318-B318-(D318-1))/(A318-(D318-1))</f>
        <v/>
      </c>
      <c r="I318" s="9">
        <f>A318&amp;'x'&amp;B318</f>
        <v/>
      </c>
      <c r="J318" s="9">
        <f>IF(AND(G318&gt;0.9,G318&lt;1),"OK","CHECK")</f>
        <v/>
      </c>
    </row>
    <row r="319">
      <c r="A319" s="9" t="n">
        <v>25</v>
      </c>
      <c r="B319" s="9" t="n">
        <v>8</v>
      </c>
      <c r="C319" s="9" t="n">
        <v>17</v>
      </c>
      <c r="D319" s="9" t="n">
        <v>13</v>
      </c>
      <c r="E319" s="10">
        <f>COMBIN(A319,D319)/COMBIN(A319-B319,D319)</f>
        <v/>
      </c>
      <c r="F319" s="11">
        <f>ROUNDUP(E319*Controls!$B$4,4)</f>
        <v/>
      </c>
      <c r="G319" s="12">
        <f>F319/E319</f>
        <v/>
      </c>
      <c r="H319" s="10">
        <f>(A319-B319-(D319-1))/(A319-(D319-1))</f>
        <v/>
      </c>
      <c r="I319" s="9">
        <f>A319&amp;'x'&amp;B319</f>
        <v/>
      </c>
      <c r="J319" s="9">
        <f>IF(AND(G319&gt;0.9,G319&lt;1),"OK","CHECK")</f>
        <v/>
      </c>
    </row>
    <row r="320">
      <c r="A320" s="9" t="n">
        <v>25</v>
      </c>
      <c r="B320" s="9" t="n">
        <v>8</v>
      </c>
      <c r="C320" s="9" t="n">
        <v>17</v>
      </c>
      <c r="D320" s="9" t="n">
        <v>14</v>
      </c>
      <c r="E320" s="10">
        <f>COMBIN(A320,D320)/COMBIN(A320-B320,D320)</f>
        <v/>
      </c>
      <c r="F320" s="11">
        <f>ROUNDUP(E320*Controls!$B$4,4)</f>
        <v/>
      </c>
      <c r="G320" s="12">
        <f>F320/E320</f>
        <v/>
      </c>
      <c r="H320" s="10">
        <f>(A320-B320-(D320-1))/(A320-(D320-1))</f>
        <v/>
      </c>
      <c r="I320" s="9">
        <f>A320&amp;'x'&amp;B320</f>
        <v/>
      </c>
      <c r="J320" s="9">
        <f>IF(AND(G320&gt;0.9,G320&lt;1),"OK","CHECK")</f>
        <v/>
      </c>
    </row>
    <row r="321">
      <c r="A321" s="9" t="n">
        <v>25</v>
      </c>
      <c r="B321" s="9" t="n">
        <v>8</v>
      </c>
      <c r="C321" s="9" t="n">
        <v>17</v>
      </c>
      <c r="D321" s="9" t="n">
        <v>15</v>
      </c>
      <c r="E321" s="10">
        <f>COMBIN(A321,D321)/COMBIN(A321-B321,D321)</f>
        <v/>
      </c>
      <c r="F321" s="11">
        <f>ROUNDUP(E321*Controls!$B$4,4)</f>
        <v/>
      </c>
      <c r="G321" s="12">
        <f>F321/E321</f>
        <v/>
      </c>
      <c r="H321" s="10">
        <f>(A321-B321-(D321-1))/(A321-(D321-1))</f>
        <v/>
      </c>
      <c r="I321" s="9">
        <f>A321&amp;'x'&amp;B321</f>
        <v/>
      </c>
      <c r="J321" s="9">
        <f>IF(AND(G321&gt;0.9,G321&lt;1),"OK","CHECK")</f>
        <v/>
      </c>
    </row>
    <row r="322">
      <c r="A322" s="9" t="n">
        <v>25</v>
      </c>
      <c r="B322" s="9" t="n">
        <v>8</v>
      </c>
      <c r="C322" s="9" t="n">
        <v>17</v>
      </c>
      <c r="D322" s="9" t="n">
        <v>16</v>
      </c>
      <c r="E322" s="10">
        <f>COMBIN(A322,D322)/COMBIN(A322-B322,D322)</f>
        <v/>
      </c>
      <c r="F322" s="11">
        <f>ROUNDUP(E322*Controls!$B$4,4)</f>
        <v/>
      </c>
      <c r="G322" s="12">
        <f>F322/E322</f>
        <v/>
      </c>
      <c r="H322" s="10">
        <f>(A322-B322-(D322-1))/(A322-(D322-1))</f>
        <v/>
      </c>
      <c r="I322" s="9">
        <f>A322&amp;'x'&amp;B322</f>
        <v/>
      </c>
      <c r="J322" s="9">
        <f>IF(AND(G322&gt;0.9,G322&lt;1),"OK","CHECK")</f>
        <v/>
      </c>
    </row>
    <row r="323">
      <c r="A323" s="9" t="n">
        <v>25</v>
      </c>
      <c r="B323" s="9" t="n">
        <v>8</v>
      </c>
      <c r="C323" s="9" t="n">
        <v>17</v>
      </c>
      <c r="D323" s="9" t="n">
        <v>17</v>
      </c>
      <c r="E323" s="10">
        <f>COMBIN(A323,D323)/COMBIN(A323-B323,D323)</f>
        <v/>
      </c>
      <c r="F323" s="11">
        <f>ROUNDUP(E323*Controls!$B$4,4)</f>
        <v/>
      </c>
      <c r="G323" s="12">
        <f>F323/E323</f>
        <v/>
      </c>
      <c r="H323" s="10">
        <f>(A323-B323-(D323-1))/(A323-(D323-1))</f>
        <v/>
      </c>
      <c r="I323" s="9">
        <f>A323&amp;'x'&amp;B323</f>
        <v/>
      </c>
      <c r="J323" s="9">
        <f>IF(AND(G323&gt;0.9,G323&lt;1),"OK","CHECK")</f>
        <v/>
      </c>
    </row>
    <row r="324">
      <c r="A324" s="9" t="n">
        <v>25</v>
      </c>
      <c r="B324" s="9" t="n">
        <v>9</v>
      </c>
      <c r="C324" s="9" t="n">
        <v>16</v>
      </c>
      <c r="D324" s="9" t="n">
        <v>1</v>
      </c>
      <c r="E324" s="10">
        <f>COMBIN(A324,D324)/COMBIN(A324-B324,D324)</f>
        <v/>
      </c>
      <c r="F324" s="11">
        <f>ROUNDUP(E324*Controls!$B$4,4)</f>
        <v/>
      </c>
      <c r="G324" s="12">
        <f>F324/E324</f>
        <v/>
      </c>
      <c r="H324" s="10">
        <f>(A324-B324-(D324-1))/(A324-(D324-1))</f>
        <v/>
      </c>
      <c r="I324" s="9">
        <f>A324&amp;'x'&amp;B324</f>
        <v/>
      </c>
      <c r="J324" s="9">
        <f>IF(AND(G324&gt;0.9,G324&lt;1),"OK","CHECK")</f>
        <v/>
      </c>
    </row>
    <row r="325">
      <c r="A325" s="9" t="n">
        <v>25</v>
      </c>
      <c r="B325" s="9" t="n">
        <v>9</v>
      </c>
      <c r="C325" s="9" t="n">
        <v>16</v>
      </c>
      <c r="D325" s="9" t="n">
        <v>2</v>
      </c>
      <c r="E325" s="10">
        <f>COMBIN(A325,D325)/COMBIN(A325-B325,D325)</f>
        <v/>
      </c>
      <c r="F325" s="11">
        <f>ROUNDUP(E325*Controls!$B$4,4)</f>
        <v/>
      </c>
      <c r="G325" s="12">
        <f>F325/E325</f>
        <v/>
      </c>
      <c r="H325" s="10">
        <f>(A325-B325-(D325-1))/(A325-(D325-1))</f>
        <v/>
      </c>
      <c r="I325" s="9">
        <f>A325&amp;'x'&amp;B325</f>
        <v/>
      </c>
      <c r="J325" s="9">
        <f>IF(AND(G325&gt;0.9,G325&lt;1),"OK","CHECK")</f>
        <v/>
      </c>
    </row>
    <row r="326">
      <c r="A326" s="9" t="n">
        <v>25</v>
      </c>
      <c r="B326" s="9" t="n">
        <v>9</v>
      </c>
      <c r="C326" s="9" t="n">
        <v>16</v>
      </c>
      <c r="D326" s="9" t="n">
        <v>3</v>
      </c>
      <c r="E326" s="10">
        <f>COMBIN(A326,D326)/COMBIN(A326-B326,D326)</f>
        <v/>
      </c>
      <c r="F326" s="11">
        <f>ROUNDUP(E326*Controls!$B$4,4)</f>
        <v/>
      </c>
      <c r="G326" s="12">
        <f>F326/E326</f>
        <v/>
      </c>
      <c r="H326" s="10">
        <f>(A326-B326-(D326-1))/(A326-(D326-1))</f>
        <v/>
      </c>
      <c r="I326" s="9">
        <f>A326&amp;'x'&amp;B326</f>
        <v/>
      </c>
      <c r="J326" s="9">
        <f>IF(AND(G326&gt;0.9,G326&lt;1),"OK","CHECK")</f>
        <v/>
      </c>
    </row>
    <row r="327">
      <c r="A327" s="9" t="n">
        <v>25</v>
      </c>
      <c r="B327" s="9" t="n">
        <v>9</v>
      </c>
      <c r="C327" s="9" t="n">
        <v>16</v>
      </c>
      <c r="D327" s="9" t="n">
        <v>4</v>
      </c>
      <c r="E327" s="10">
        <f>COMBIN(A327,D327)/COMBIN(A327-B327,D327)</f>
        <v/>
      </c>
      <c r="F327" s="11">
        <f>ROUNDUP(E327*Controls!$B$4,4)</f>
        <v/>
      </c>
      <c r="G327" s="12">
        <f>F327/E327</f>
        <v/>
      </c>
      <c r="H327" s="10">
        <f>(A327-B327-(D327-1))/(A327-(D327-1))</f>
        <v/>
      </c>
      <c r="I327" s="9">
        <f>A327&amp;'x'&amp;B327</f>
        <v/>
      </c>
      <c r="J327" s="9">
        <f>IF(AND(G327&gt;0.9,G327&lt;1),"OK","CHECK")</f>
        <v/>
      </c>
    </row>
    <row r="328">
      <c r="A328" s="9" t="n">
        <v>25</v>
      </c>
      <c r="B328" s="9" t="n">
        <v>9</v>
      </c>
      <c r="C328" s="9" t="n">
        <v>16</v>
      </c>
      <c r="D328" s="9" t="n">
        <v>5</v>
      </c>
      <c r="E328" s="10">
        <f>COMBIN(A328,D328)/COMBIN(A328-B328,D328)</f>
        <v/>
      </c>
      <c r="F328" s="11">
        <f>ROUNDUP(E328*Controls!$B$4,4)</f>
        <v/>
      </c>
      <c r="G328" s="12">
        <f>F328/E328</f>
        <v/>
      </c>
      <c r="H328" s="10">
        <f>(A328-B328-(D328-1))/(A328-(D328-1))</f>
        <v/>
      </c>
      <c r="I328" s="9">
        <f>A328&amp;'x'&amp;B328</f>
        <v/>
      </c>
      <c r="J328" s="9">
        <f>IF(AND(G328&gt;0.9,G328&lt;1),"OK","CHECK")</f>
        <v/>
      </c>
    </row>
    <row r="329">
      <c r="A329" s="9" t="n">
        <v>25</v>
      </c>
      <c r="B329" s="9" t="n">
        <v>9</v>
      </c>
      <c r="C329" s="9" t="n">
        <v>16</v>
      </c>
      <c r="D329" s="9" t="n">
        <v>6</v>
      </c>
      <c r="E329" s="10">
        <f>COMBIN(A329,D329)/COMBIN(A329-B329,D329)</f>
        <v/>
      </c>
      <c r="F329" s="11">
        <f>ROUNDUP(E329*Controls!$B$4,4)</f>
        <v/>
      </c>
      <c r="G329" s="12">
        <f>F329/E329</f>
        <v/>
      </c>
      <c r="H329" s="10">
        <f>(A329-B329-(D329-1))/(A329-(D329-1))</f>
        <v/>
      </c>
      <c r="I329" s="9">
        <f>A329&amp;'x'&amp;B329</f>
        <v/>
      </c>
      <c r="J329" s="9">
        <f>IF(AND(G329&gt;0.9,G329&lt;1),"OK","CHECK")</f>
        <v/>
      </c>
    </row>
    <row r="330">
      <c r="A330" s="9" t="n">
        <v>25</v>
      </c>
      <c r="B330" s="9" t="n">
        <v>9</v>
      </c>
      <c r="C330" s="9" t="n">
        <v>16</v>
      </c>
      <c r="D330" s="9" t="n">
        <v>7</v>
      </c>
      <c r="E330" s="10">
        <f>COMBIN(A330,D330)/COMBIN(A330-B330,D330)</f>
        <v/>
      </c>
      <c r="F330" s="11">
        <f>ROUNDUP(E330*Controls!$B$4,4)</f>
        <v/>
      </c>
      <c r="G330" s="12">
        <f>F330/E330</f>
        <v/>
      </c>
      <c r="H330" s="10">
        <f>(A330-B330-(D330-1))/(A330-(D330-1))</f>
        <v/>
      </c>
      <c r="I330" s="9">
        <f>A330&amp;'x'&amp;B330</f>
        <v/>
      </c>
      <c r="J330" s="9">
        <f>IF(AND(G330&gt;0.9,G330&lt;1),"OK","CHECK")</f>
        <v/>
      </c>
    </row>
    <row r="331">
      <c r="A331" s="9" t="n">
        <v>25</v>
      </c>
      <c r="B331" s="9" t="n">
        <v>9</v>
      </c>
      <c r="C331" s="9" t="n">
        <v>16</v>
      </c>
      <c r="D331" s="9" t="n">
        <v>8</v>
      </c>
      <c r="E331" s="10">
        <f>COMBIN(A331,D331)/COMBIN(A331-B331,D331)</f>
        <v/>
      </c>
      <c r="F331" s="11">
        <f>ROUNDUP(E331*Controls!$B$4,4)</f>
        <v/>
      </c>
      <c r="G331" s="12">
        <f>F331/E331</f>
        <v/>
      </c>
      <c r="H331" s="10">
        <f>(A331-B331-(D331-1))/(A331-(D331-1))</f>
        <v/>
      </c>
      <c r="I331" s="9">
        <f>A331&amp;'x'&amp;B331</f>
        <v/>
      </c>
      <c r="J331" s="9">
        <f>IF(AND(G331&gt;0.9,G331&lt;1),"OK","CHECK")</f>
        <v/>
      </c>
    </row>
    <row r="332">
      <c r="A332" s="9" t="n">
        <v>25</v>
      </c>
      <c r="B332" s="9" t="n">
        <v>9</v>
      </c>
      <c r="C332" s="9" t="n">
        <v>16</v>
      </c>
      <c r="D332" s="9" t="n">
        <v>9</v>
      </c>
      <c r="E332" s="10">
        <f>COMBIN(A332,D332)/COMBIN(A332-B332,D332)</f>
        <v/>
      </c>
      <c r="F332" s="11">
        <f>ROUNDUP(E332*Controls!$B$4,4)</f>
        <v/>
      </c>
      <c r="G332" s="12">
        <f>F332/E332</f>
        <v/>
      </c>
      <c r="H332" s="10">
        <f>(A332-B332-(D332-1))/(A332-(D332-1))</f>
        <v/>
      </c>
      <c r="I332" s="9">
        <f>A332&amp;'x'&amp;B332</f>
        <v/>
      </c>
      <c r="J332" s="9">
        <f>IF(AND(G332&gt;0.9,G332&lt;1),"OK","CHECK")</f>
        <v/>
      </c>
    </row>
    <row r="333">
      <c r="A333" s="9" t="n">
        <v>25</v>
      </c>
      <c r="B333" s="9" t="n">
        <v>9</v>
      </c>
      <c r="C333" s="9" t="n">
        <v>16</v>
      </c>
      <c r="D333" s="9" t="n">
        <v>10</v>
      </c>
      <c r="E333" s="10">
        <f>COMBIN(A333,D333)/COMBIN(A333-B333,D333)</f>
        <v/>
      </c>
      <c r="F333" s="11">
        <f>ROUNDUP(E333*Controls!$B$4,4)</f>
        <v/>
      </c>
      <c r="G333" s="12">
        <f>F333/E333</f>
        <v/>
      </c>
      <c r="H333" s="10">
        <f>(A333-B333-(D333-1))/(A333-(D333-1))</f>
        <v/>
      </c>
      <c r="I333" s="9">
        <f>A333&amp;'x'&amp;B333</f>
        <v/>
      </c>
      <c r="J333" s="9">
        <f>IF(AND(G333&gt;0.9,G333&lt;1),"OK","CHECK")</f>
        <v/>
      </c>
    </row>
    <row r="334">
      <c r="A334" s="9" t="n">
        <v>25</v>
      </c>
      <c r="B334" s="9" t="n">
        <v>9</v>
      </c>
      <c r="C334" s="9" t="n">
        <v>16</v>
      </c>
      <c r="D334" s="9" t="n">
        <v>11</v>
      </c>
      <c r="E334" s="10">
        <f>COMBIN(A334,D334)/COMBIN(A334-B334,D334)</f>
        <v/>
      </c>
      <c r="F334" s="11">
        <f>ROUNDUP(E334*Controls!$B$4,4)</f>
        <v/>
      </c>
      <c r="G334" s="12">
        <f>F334/E334</f>
        <v/>
      </c>
      <c r="H334" s="10">
        <f>(A334-B334-(D334-1))/(A334-(D334-1))</f>
        <v/>
      </c>
      <c r="I334" s="9">
        <f>A334&amp;'x'&amp;B334</f>
        <v/>
      </c>
      <c r="J334" s="9">
        <f>IF(AND(G334&gt;0.9,G334&lt;1),"OK","CHECK")</f>
        <v/>
      </c>
    </row>
    <row r="335">
      <c r="A335" s="9" t="n">
        <v>25</v>
      </c>
      <c r="B335" s="9" t="n">
        <v>9</v>
      </c>
      <c r="C335" s="9" t="n">
        <v>16</v>
      </c>
      <c r="D335" s="9" t="n">
        <v>12</v>
      </c>
      <c r="E335" s="10">
        <f>COMBIN(A335,D335)/COMBIN(A335-B335,D335)</f>
        <v/>
      </c>
      <c r="F335" s="11">
        <f>ROUNDUP(E335*Controls!$B$4,4)</f>
        <v/>
      </c>
      <c r="G335" s="12">
        <f>F335/E335</f>
        <v/>
      </c>
      <c r="H335" s="10">
        <f>(A335-B335-(D335-1))/(A335-(D335-1))</f>
        <v/>
      </c>
      <c r="I335" s="9">
        <f>A335&amp;'x'&amp;B335</f>
        <v/>
      </c>
      <c r="J335" s="9">
        <f>IF(AND(G335&gt;0.9,G335&lt;1),"OK","CHECK")</f>
        <v/>
      </c>
    </row>
    <row r="336">
      <c r="A336" s="9" t="n">
        <v>25</v>
      </c>
      <c r="B336" s="9" t="n">
        <v>9</v>
      </c>
      <c r="C336" s="9" t="n">
        <v>16</v>
      </c>
      <c r="D336" s="9" t="n">
        <v>13</v>
      </c>
      <c r="E336" s="10">
        <f>COMBIN(A336,D336)/COMBIN(A336-B336,D336)</f>
        <v/>
      </c>
      <c r="F336" s="11">
        <f>ROUNDUP(E336*Controls!$B$4,4)</f>
        <v/>
      </c>
      <c r="G336" s="12">
        <f>F336/E336</f>
        <v/>
      </c>
      <c r="H336" s="10">
        <f>(A336-B336-(D336-1))/(A336-(D336-1))</f>
        <v/>
      </c>
      <c r="I336" s="9">
        <f>A336&amp;'x'&amp;B336</f>
        <v/>
      </c>
      <c r="J336" s="9">
        <f>IF(AND(G336&gt;0.9,G336&lt;1),"OK","CHECK")</f>
        <v/>
      </c>
    </row>
    <row r="337">
      <c r="A337" s="9" t="n">
        <v>25</v>
      </c>
      <c r="B337" s="9" t="n">
        <v>9</v>
      </c>
      <c r="C337" s="9" t="n">
        <v>16</v>
      </c>
      <c r="D337" s="9" t="n">
        <v>14</v>
      </c>
      <c r="E337" s="10">
        <f>COMBIN(A337,D337)/COMBIN(A337-B337,D337)</f>
        <v/>
      </c>
      <c r="F337" s="11">
        <f>ROUNDUP(E337*Controls!$B$4,4)</f>
        <v/>
      </c>
      <c r="G337" s="12">
        <f>F337/E337</f>
        <v/>
      </c>
      <c r="H337" s="10">
        <f>(A337-B337-(D337-1))/(A337-(D337-1))</f>
        <v/>
      </c>
      <c r="I337" s="9">
        <f>A337&amp;'x'&amp;B337</f>
        <v/>
      </c>
      <c r="J337" s="9">
        <f>IF(AND(G337&gt;0.9,G337&lt;1),"OK","CHECK")</f>
        <v/>
      </c>
    </row>
    <row r="338">
      <c r="A338" s="9" t="n">
        <v>25</v>
      </c>
      <c r="B338" s="9" t="n">
        <v>9</v>
      </c>
      <c r="C338" s="9" t="n">
        <v>16</v>
      </c>
      <c r="D338" s="9" t="n">
        <v>15</v>
      </c>
      <c r="E338" s="10">
        <f>COMBIN(A338,D338)/COMBIN(A338-B338,D338)</f>
        <v/>
      </c>
      <c r="F338" s="11">
        <f>ROUNDUP(E338*Controls!$B$4,4)</f>
        <v/>
      </c>
      <c r="G338" s="12">
        <f>F338/E338</f>
        <v/>
      </c>
      <c r="H338" s="10">
        <f>(A338-B338-(D338-1))/(A338-(D338-1))</f>
        <v/>
      </c>
      <c r="I338" s="9">
        <f>A338&amp;'x'&amp;B338</f>
        <v/>
      </c>
      <c r="J338" s="9">
        <f>IF(AND(G338&gt;0.9,G338&lt;1),"OK","CHECK")</f>
        <v/>
      </c>
    </row>
    <row r="339">
      <c r="A339" s="9" t="n">
        <v>25</v>
      </c>
      <c r="B339" s="9" t="n">
        <v>9</v>
      </c>
      <c r="C339" s="9" t="n">
        <v>16</v>
      </c>
      <c r="D339" s="9" t="n">
        <v>16</v>
      </c>
      <c r="E339" s="10">
        <f>COMBIN(A339,D339)/COMBIN(A339-B339,D339)</f>
        <v/>
      </c>
      <c r="F339" s="11">
        <f>ROUNDUP(E339*Controls!$B$4,4)</f>
        <v/>
      </c>
      <c r="G339" s="12">
        <f>F339/E339</f>
        <v/>
      </c>
      <c r="H339" s="10">
        <f>(A339-B339-(D339-1))/(A339-(D339-1))</f>
        <v/>
      </c>
      <c r="I339" s="9">
        <f>A339&amp;'x'&amp;B339</f>
        <v/>
      </c>
      <c r="J339" s="9">
        <f>IF(AND(G339&gt;0.9,G339&lt;1),"OK","CHECK")</f>
        <v/>
      </c>
    </row>
    <row r="340">
      <c r="A340" s="9" t="n">
        <v>25</v>
      </c>
      <c r="B340" s="9" t="n">
        <v>10</v>
      </c>
      <c r="C340" s="9" t="n">
        <v>15</v>
      </c>
      <c r="D340" s="9" t="n">
        <v>1</v>
      </c>
      <c r="E340" s="10">
        <f>COMBIN(A340,D340)/COMBIN(A340-B340,D340)</f>
        <v/>
      </c>
      <c r="F340" s="11">
        <f>ROUNDUP(E340*Controls!$B$4,4)</f>
        <v/>
      </c>
      <c r="G340" s="12">
        <f>F340/E340</f>
        <v/>
      </c>
      <c r="H340" s="10">
        <f>(A340-B340-(D340-1))/(A340-(D340-1))</f>
        <v/>
      </c>
      <c r="I340" s="9">
        <f>A340&amp;'x'&amp;B340</f>
        <v/>
      </c>
      <c r="J340" s="9">
        <f>IF(AND(G340&gt;0.9,G340&lt;1),"OK","CHECK")</f>
        <v/>
      </c>
    </row>
    <row r="341">
      <c r="A341" s="9" t="n">
        <v>25</v>
      </c>
      <c r="B341" s="9" t="n">
        <v>10</v>
      </c>
      <c r="C341" s="9" t="n">
        <v>15</v>
      </c>
      <c r="D341" s="9" t="n">
        <v>2</v>
      </c>
      <c r="E341" s="10">
        <f>COMBIN(A341,D341)/COMBIN(A341-B341,D341)</f>
        <v/>
      </c>
      <c r="F341" s="11">
        <f>ROUNDUP(E341*Controls!$B$4,4)</f>
        <v/>
      </c>
      <c r="G341" s="12">
        <f>F341/E341</f>
        <v/>
      </c>
      <c r="H341" s="10">
        <f>(A341-B341-(D341-1))/(A341-(D341-1))</f>
        <v/>
      </c>
      <c r="I341" s="9">
        <f>A341&amp;'x'&amp;B341</f>
        <v/>
      </c>
      <c r="J341" s="9">
        <f>IF(AND(G341&gt;0.9,G341&lt;1),"OK","CHECK")</f>
        <v/>
      </c>
    </row>
    <row r="342">
      <c r="A342" s="9" t="n">
        <v>25</v>
      </c>
      <c r="B342" s="9" t="n">
        <v>10</v>
      </c>
      <c r="C342" s="9" t="n">
        <v>15</v>
      </c>
      <c r="D342" s="9" t="n">
        <v>3</v>
      </c>
      <c r="E342" s="10">
        <f>COMBIN(A342,D342)/COMBIN(A342-B342,D342)</f>
        <v/>
      </c>
      <c r="F342" s="11">
        <f>ROUNDUP(E342*Controls!$B$4,4)</f>
        <v/>
      </c>
      <c r="G342" s="12">
        <f>F342/E342</f>
        <v/>
      </c>
      <c r="H342" s="10">
        <f>(A342-B342-(D342-1))/(A342-(D342-1))</f>
        <v/>
      </c>
      <c r="I342" s="9">
        <f>A342&amp;'x'&amp;B342</f>
        <v/>
      </c>
      <c r="J342" s="9">
        <f>IF(AND(G342&gt;0.9,G342&lt;1),"OK","CHECK")</f>
        <v/>
      </c>
    </row>
    <row r="343">
      <c r="A343" s="9" t="n">
        <v>25</v>
      </c>
      <c r="B343" s="9" t="n">
        <v>10</v>
      </c>
      <c r="C343" s="9" t="n">
        <v>15</v>
      </c>
      <c r="D343" s="9" t="n">
        <v>4</v>
      </c>
      <c r="E343" s="10">
        <f>COMBIN(A343,D343)/COMBIN(A343-B343,D343)</f>
        <v/>
      </c>
      <c r="F343" s="11">
        <f>ROUNDUP(E343*Controls!$B$4,4)</f>
        <v/>
      </c>
      <c r="G343" s="12">
        <f>F343/E343</f>
        <v/>
      </c>
      <c r="H343" s="10">
        <f>(A343-B343-(D343-1))/(A343-(D343-1))</f>
        <v/>
      </c>
      <c r="I343" s="9">
        <f>A343&amp;'x'&amp;B343</f>
        <v/>
      </c>
      <c r="J343" s="9">
        <f>IF(AND(G343&gt;0.9,G343&lt;1),"OK","CHECK")</f>
        <v/>
      </c>
    </row>
    <row r="344">
      <c r="A344" s="9" t="n">
        <v>25</v>
      </c>
      <c r="B344" s="9" t="n">
        <v>10</v>
      </c>
      <c r="C344" s="9" t="n">
        <v>15</v>
      </c>
      <c r="D344" s="9" t="n">
        <v>5</v>
      </c>
      <c r="E344" s="10">
        <f>COMBIN(A344,D344)/COMBIN(A344-B344,D344)</f>
        <v/>
      </c>
      <c r="F344" s="11">
        <f>ROUNDUP(E344*Controls!$B$4,4)</f>
        <v/>
      </c>
      <c r="G344" s="12">
        <f>F344/E344</f>
        <v/>
      </c>
      <c r="H344" s="10">
        <f>(A344-B344-(D344-1))/(A344-(D344-1))</f>
        <v/>
      </c>
      <c r="I344" s="9">
        <f>A344&amp;'x'&amp;B344</f>
        <v/>
      </c>
      <c r="J344" s="9">
        <f>IF(AND(G344&gt;0.9,G344&lt;1),"OK","CHECK")</f>
        <v/>
      </c>
    </row>
    <row r="345">
      <c r="A345" s="9" t="n">
        <v>25</v>
      </c>
      <c r="B345" s="9" t="n">
        <v>10</v>
      </c>
      <c r="C345" s="9" t="n">
        <v>15</v>
      </c>
      <c r="D345" s="9" t="n">
        <v>6</v>
      </c>
      <c r="E345" s="10">
        <f>COMBIN(A345,D345)/COMBIN(A345-B345,D345)</f>
        <v/>
      </c>
      <c r="F345" s="11">
        <f>ROUNDUP(E345*Controls!$B$4,4)</f>
        <v/>
      </c>
      <c r="G345" s="12">
        <f>F345/E345</f>
        <v/>
      </c>
      <c r="H345" s="10">
        <f>(A345-B345-(D345-1))/(A345-(D345-1))</f>
        <v/>
      </c>
      <c r="I345" s="9">
        <f>A345&amp;'x'&amp;B345</f>
        <v/>
      </c>
      <c r="J345" s="9">
        <f>IF(AND(G345&gt;0.9,G345&lt;1),"OK","CHECK")</f>
        <v/>
      </c>
    </row>
    <row r="346">
      <c r="A346" s="9" t="n">
        <v>25</v>
      </c>
      <c r="B346" s="9" t="n">
        <v>10</v>
      </c>
      <c r="C346" s="9" t="n">
        <v>15</v>
      </c>
      <c r="D346" s="9" t="n">
        <v>7</v>
      </c>
      <c r="E346" s="10">
        <f>COMBIN(A346,D346)/COMBIN(A346-B346,D346)</f>
        <v/>
      </c>
      <c r="F346" s="11">
        <f>ROUNDUP(E346*Controls!$B$4,4)</f>
        <v/>
      </c>
      <c r="G346" s="12">
        <f>F346/E346</f>
        <v/>
      </c>
      <c r="H346" s="10">
        <f>(A346-B346-(D346-1))/(A346-(D346-1))</f>
        <v/>
      </c>
      <c r="I346" s="9">
        <f>A346&amp;'x'&amp;B346</f>
        <v/>
      </c>
      <c r="J346" s="9">
        <f>IF(AND(G346&gt;0.9,G346&lt;1),"OK","CHECK")</f>
        <v/>
      </c>
    </row>
    <row r="347">
      <c r="A347" s="9" t="n">
        <v>25</v>
      </c>
      <c r="B347" s="9" t="n">
        <v>10</v>
      </c>
      <c r="C347" s="9" t="n">
        <v>15</v>
      </c>
      <c r="D347" s="9" t="n">
        <v>8</v>
      </c>
      <c r="E347" s="10">
        <f>COMBIN(A347,D347)/COMBIN(A347-B347,D347)</f>
        <v/>
      </c>
      <c r="F347" s="11">
        <f>ROUNDUP(E347*Controls!$B$4,4)</f>
        <v/>
      </c>
      <c r="G347" s="12">
        <f>F347/E347</f>
        <v/>
      </c>
      <c r="H347" s="10">
        <f>(A347-B347-(D347-1))/(A347-(D347-1))</f>
        <v/>
      </c>
      <c r="I347" s="9">
        <f>A347&amp;'x'&amp;B347</f>
        <v/>
      </c>
      <c r="J347" s="9">
        <f>IF(AND(G347&gt;0.9,G347&lt;1),"OK","CHECK")</f>
        <v/>
      </c>
    </row>
    <row r="348">
      <c r="A348" s="9" t="n">
        <v>25</v>
      </c>
      <c r="B348" s="9" t="n">
        <v>10</v>
      </c>
      <c r="C348" s="9" t="n">
        <v>15</v>
      </c>
      <c r="D348" s="9" t="n">
        <v>9</v>
      </c>
      <c r="E348" s="10">
        <f>COMBIN(A348,D348)/COMBIN(A348-B348,D348)</f>
        <v/>
      </c>
      <c r="F348" s="11">
        <f>ROUNDUP(E348*Controls!$B$4,4)</f>
        <v/>
      </c>
      <c r="G348" s="12">
        <f>F348/E348</f>
        <v/>
      </c>
      <c r="H348" s="10">
        <f>(A348-B348-(D348-1))/(A348-(D348-1))</f>
        <v/>
      </c>
      <c r="I348" s="9">
        <f>A348&amp;'x'&amp;B348</f>
        <v/>
      </c>
      <c r="J348" s="9">
        <f>IF(AND(G348&gt;0.9,G348&lt;1),"OK","CHECK")</f>
        <v/>
      </c>
    </row>
    <row r="349">
      <c r="A349" s="9" t="n">
        <v>25</v>
      </c>
      <c r="B349" s="9" t="n">
        <v>10</v>
      </c>
      <c r="C349" s="9" t="n">
        <v>15</v>
      </c>
      <c r="D349" s="9" t="n">
        <v>10</v>
      </c>
      <c r="E349" s="10">
        <f>COMBIN(A349,D349)/COMBIN(A349-B349,D349)</f>
        <v/>
      </c>
      <c r="F349" s="11">
        <f>ROUNDUP(E349*Controls!$B$4,4)</f>
        <v/>
      </c>
      <c r="G349" s="12">
        <f>F349/E349</f>
        <v/>
      </c>
      <c r="H349" s="10">
        <f>(A349-B349-(D349-1))/(A349-(D349-1))</f>
        <v/>
      </c>
      <c r="I349" s="9">
        <f>A349&amp;'x'&amp;B349</f>
        <v/>
      </c>
      <c r="J349" s="9">
        <f>IF(AND(G349&gt;0.9,G349&lt;1),"OK","CHECK")</f>
        <v/>
      </c>
    </row>
    <row r="350">
      <c r="A350" s="9" t="n">
        <v>25</v>
      </c>
      <c r="B350" s="9" t="n">
        <v>10</v>
      </c>
      <c r="C350" s="9" t="n">
        <v>15</v>
      </c>
      <c r="D350" s="9" t="n">
        <v>11</v>
      </c>
      <c r="E350" s="10">
        <f>COMBIN(A350,D350)/COMBIN(A350-B350,D350)</f>
        <v/>
      </c>
      <c r="F350" s="11">
        <f>ROUNDUP(E350*Controls!$B$4,4)</f>
        <v/>
      </c>
      <c r="G350" s="12">
        <f>F350/E350</f>
        <v/>
      </c>
      <c r="H350" s="10">
        <f>(A350-B350-(D350-1))/(A350-(D350-1))</f>
        <v/>
      </c>
      <c r="I350" s="9">
        <f>A350&amp;'x'&amp;B350</f>
        <v/>
      </c>
      <c r="J350" s="9">
        <f>IF(AND(G350&gt;0.9,G350&lt;1),"OK","CHECK")</f>
        <v/>
      </c>
    </row>
    <row r="351">
      <c r="A351" s="9" t="n">
        <v>25</v>
      </c>
      <c r="B351" s="9" t="n">
        <v>10</v>
      </c>
      <c r="C351" s="9" t="n">
        <v>15</v>
      </c>
      <c r="D351" s="9" t="n">
        <v>12</v>
      </c>
      <c r="E351" s="10">
        <f>COMBIN(A351,D351)/COMBIN(A351-B351,D351)</f>
        <v/>
      </c>
      <c r="F351" s="11">
        <f>ROUNDUP(E351*Controls!$B$4,4)</f>
        <v/>
      </c>
      <c r="G351" s="12">
        <f>F351/E351</f>
        <v/>
      </c>
      <c r="H351" s="10">
        <f>(A351-B351-(D351-1))/(A351-(D351-1))</f>
        <v/>
      </c>
      <c r="I351" s="9">
        <f>A351&amp;'x'&amp;B351</f>
        <v/>
      </c>
      <c r="J351" s="9">
        <f>IF(AND(G351&gt;0.9,G351&lt;1),"OK","CHECK")</f>
        <v/>
      </c>
    </row>
    <row r="352">
      <c r="A352" s="9" t="n">
        <v>25</v>
      </c>
      <c r="B352" s="9" t="n">
        <v>10</v>
      </c>
      <c r="C352" s="9" t="n">
        <v>15</v>
      </c>
      <c r="D352" s="9" t="n">
        <v>13</v>
      </c>
      <c r="E352" s="10">
        <f>COMBIN(A352,D352)/COMBIN(A352-B352,D352)</f>
        <v/>
      </c>
      <c r="F352" s="11">
        <f>ROUNDUP(E352*Controls!$B$4,4)</f>
        <v/>
      </c>
      <c r="G352" s="12">
        <f>F352/E352</f>
        <v/>
      </c>
      <c r="H352" s="10">
        <f>(A352-B352-(D352-1))/(A352-(D352-1))</f>
        <v/>
      </c>
      <c r="I352" s="9">
        <f>A352&amp;'x'&amp;B352</f>
        <v/>
      </c>
      <c r="J352" s="9">
        <f>IF(AND(G352&gt;0.9,G352&lt;1),"OK","CHECK")</f>
        <v/>
      </c>
    </row>
    <row r="353">
      <c r="A353" s="9" t="n">
        <v>25</v>
      </c>
      <c r="B353" s="9" t="n">
        <v>10</v>
      </c>
      <c r="C353" s="9" t="n">
        <v>15</v>
      </c>
      <c r="D353" s="9" t="n">
        <v>14</v>
      </c>
      <c r="E353" s="10">
        <f>COMBIN(A353,D353)/COMBIN(A353-B353,D353)</f>
        <v/>
      </c>
      <c r="F353" s="11">
        <f>ROUNDUP(E353*Controls!$B$4,4)</f>
        <v/>
      </c>
      <c r="G353" s="12">
        <f>F353/E353</f>
        <v/>
      </c>
      <c r="H353" s="10">
        <f>(A353-B353-(D353-1))/(A353-(D353-1))</f>
        <v/>
      </c>
      <c r="I353" s="9">
        <f>A353&amp;'x'&amp;B353</f>
        <v/>
      </c>
      <c r="J353" s="9">
        <f>IF(AND(G353&gt;0.9,G353&lt;1),"OK","CHECK")</f>
        <v/>
      </c>
    </row>
    <row r="354">
      <c r="A354" s="9" t="n">
        <v>25</v>
      </c>
      <c r="B354" s="9" t="n">
        <v>10</v>
      </c>
      <c r="C354" s="9" t="n">
        <v>15</v>
      </c>
      <c r="D354" s="9" t="n">
        <v>15</v>
      </c>
      <c r="E354" s="10">
        <f>COMBIN(A354,D354)/COMBIN(A354-B354,D354)</f>
        <v/>
      </c>
      <c r="F354" s="11">
        <f>ROUNDUP(E354*Controls!$B$4,4)</f>
        <v/>
      </c>
      <c r="G354" s="12">
        <f>F354/E354</f>
        <v/>
      </c>
      <c r="H354" s="10">
        <f>(A354-B354-(D354-1))/(A354-(D354-1))</f>
        <v/>
      </c>
      <c r="I354" s="9">
        <f>A354&amp;'x'&amp;B354</f>
        <v/>
      </c>
      <c r="J354" s="9">
        <f>IF(AND(G354&gt;0.9,G354&lt;1),"OK","CHECK")</f>
        <v/>
      </c>
    </row>
    <row r="355">
      <c r="A355" s="9" t="n">
        <v>25</v>
      </c>
      <c r="B355" s="9" t="n">
        <v>11</v>
      </c>
      <c r="C355" s="9" t="n">
        <v>14</v>
      </c>
      <c r="D355" s="9" t="n">
        <v>1</v>
      </c>
      <c r="E355" s="10">
        <f>COMBIN(A355,D355)/COMBIN(A355-B355,D355)</f>
        <v/>
      </c>
      <c r="F355" s="11">
        <f>ROUNDUP(E355*Controls!$B$4,4)</f>
        <v/>
      </c>
      <c r="G355" s="12">
        <f>F355/E355</f>
        <v/>
      </c>
      <c r="H355" s="10">
        <f>(A355-B355-(D355-1))/(A355-(D355-1))</f>
        <v/>
      </c>
      <c r="I355" s="9">
        <f>A355&amp;'x'&amp;B355</f>
        <v/>
      </c>
      <c r="J355" s="9">
        <f>IF(AND(G355&gt;0.9,G355&lt;1),"OK","CHECK")</f>
        <v/>
      </c>
    </row>
    <row r="356">
      <c r="A356" s="9" t="n">
        <v>25</v>
      </c>
      <c r="B356" s="9" t="n">
        <v>11</v>
      </c>
      <c r="C356" s="9" t="n">
        <v>14</v>
      </c>
      <c r="D356" s="9" t="n">
        <v>2</v>
      </c>
      <c r="E356" s="10">
        <f>COMBIN(A356,D356)/COMBIN(A356-B356,D356)</f>
        <v/>
      </c>
      <c r="F356" s="11">
        <f>ROUNDUP(E356*Controls!$B$4,4)</f>
        <v/>
      </c>
      <c r="G356" s="12">
        <f>F356/E356</f>
        <v/>
      </c>
      <c r="H356" s="10">
        <f>(A356-B356-(D356-1))/(A356-(D356-1))</f>
        <v/>
      </c>
      <c r="I356" s="9">
        <f>A356&amp;'x'&amp;B356</f>
        <v/>
      </c>
      <c r="J356" s="9">
        <f>IF(AND(G356&gt;0.9,G356&lt;1),"OK","CHECK")</f>
        <v/>
      </c>
    </row>
    <row r="357">
      <c r="A357" s="9" t="n">
        <v>25</v>
      </c>
      <c r="B357" s="9" t="n">
        <v>11</v>
      </c>
      <c r="C357" s="9" t="n">
        <v>14</v>
      </c>
      <c r="D357" s="9" t="n">
        <v>3</v>
      </c>
      <c r="E357" s="10">
        <f>COMBIN(A357,D357)/COMBIN(A357-B357,D357)</f>
        <v/>
      </c>
      <c r="F357" s="11">
        <f>ROUNDUP(E357*Controls!$B$4,4)</f>
        <v/>
      </c>
      <c r="G357" s="12">
        <f>F357/E357</f>
        <v/>
      </c>
      <c r="H357" s="10">
        <f>(A357-B357-(D357-1))/(A357-(D357-1))</f>
        <v/>
      </c>
      <c r="I357" s="9">
        <f>A357&amp;'x'&amp;B357</f>
        <v/>
      </c>
      <c r="J357" s="9">
        <f>IF(AND(G357&gt;0.9,G357&lt;1),"OK","CHECK")</f>
        <v/>
      </c>
    </row>
    <row r="358">
      <c r="A358" s="9" t="n">
        <v>25</v>
      </c>
      <c r="B358" s="9" t="n">
        <v>11</v>
      </c>
      <c r="C358" s="9" t="n">
        <v>14</v>
      </c>
      <c r="D358" s="9" t="n">
        <v>4</v>
      </c>
      <c r="E358" s="10">
        <f>COMBIN(A358,D358)/COMBIN(A358-B358,D358)</f>
        <v/>
      </c>
      <c r="F358" s="11">
        <f>ROUNDUP(E358*Controls!$B$4,4)</f>
        <v/>
      </c>
      <c r="G358" s="12">
        <f>F358/E358</f>
        <v/>
      </c>
      <c r="H358" s="10">
        <f>(A358-B358-(D358-1))/(A358-(D358-1))</f>
        <v/>
      </c>
      <c r="I358" s="9">
        <f>A358&amp;'x'&amp;B358</f>
        <v/>
      </c>
      <c r="J358" s="9">
        <f>IF(AND(G358&gt;0.9,G358&lt;1),"OK","CHECK")</f>
        <v/>
      </c>
    </row>
    <row r="359">
      <c r="A359" s="9" t="n">
        <v>25</v>
      </c>
      <c r="B359" s="9" t="n">
        <v>11</v>
      </c>
      <c r="C359" s="9" t="n">
        <v>14</v>
      </c>
      <c r="D359" s="9" t="n">
        <v>5</v>
      </c>
      <c r="E359" s="10">
        <f>COMBIN(A359,D359)/COMBIN(A359-B359,D359)</f>
        <v/>
      </c>
      <c r="F359" s="11">
        <f>ROUNDUP(E359*Controls!$B$4,4)</f>
        <v/>
      </c>
      <c r="G359" s="12">
        <f>F359/E359</f>
        <v/>
      </c>
      <c r="H359" s="10">
        <f>(A359-B359-(D359-1))/(A359-(D359-1))</f>
        <v/>
      </c>
      <c r="I359" s="9">
        <f>A359&amp;'x'&amp;B359</f>
        <v/>
      </c>
      <c r="J359" s="9">
        <f>IF(AND(G359&gt;0.9,G359&lt;1),"OK","CHECK")</f>
        <v/>
      </c>
    </row>
    <row r="360">
      <c r="A360" s="9" t="n">
        <v>25</v>
      </c>
      <c r="B360" s="9" t="n">
        <v>11</v>
      </c>
      <c r="C360" s="9" t="n">
        <v>14</v>
      </c>
      <c r="D360" s="9" t="n">
        <v>6</v>
      </c>
      <c r="E360" s="10">
        <f>COMBIN(A360,D360)/COMBIN(A360-B360,D360)</f>
        <v/>
      </c>
      <c r="F360" s="11">
        <f>ROUNDUP(E360*Controls!$B$4,4)</f>
        <v/>
      </c>
      <c r="G360" s="12">
        <f>F360/E360</f>
        <v/>
      </c>
      <c r="H360" s="10">
        <f>(A360-B360-(D360-1))/(A360-(D360-1))</f>
        <v/>
      </c>
      <c r="I360" s="9">
        <f>A360&amp;'x'&amp;B360</f>
        <v/>
      </c>
      <c r="J360" s="9">
        <f>IF(AND(G360&gt;0.9,G360&lt;1),"OK","CHECK")</f>
        <v/>
      </c>
    </row>
    <row r="361">
      <c r="A361" s="9" t="n">
        <v>25</v>
      </c>
      <c r="B361" s="9" t="n">
        <v>11</v>
      </c>
      <c r="C361" s="9" t="n">
        <v>14</v>
      </c>
      <c r="D361" s="9" t="n">
        <v>7</v>
      </c>
      <c r="E361" s="10">
        <f>COMBIN(A361,D361)/COMBIN(A361-B361,D361)</f>
        <v/>
      </c>
      <c r="F361" s="11">
        <f>ROUNDUP(E361*Controls!$B$4,4)</f>
        <v/>
      </c>
      <c r="G361" s="12">
        <f>F361/E361</f>
        <v/>
      </c>
      <c r="H361" s="10">
        <f>(A361-B361-(D361-1))/(A361-(D361-1))</f>
        <v/>
      </c>
      <c r="I361" s="9">
        <f>A361&amp;'x'&amp;B361</f>
        <v/>
      </c>
      <c r="J361" s="9">
        <f>IF(AND(G361&gt;0.9,G361&lt;1),"OK","CHECK")</f>
        <v/>
      </c>
    </row>
    <row r="362">
      <c r="A362" s="9" t="n">
        <v>25</v>
      </c>
      <c r="B362" s="9" t="n">
        <v>11</v>
      </c>
      <c r="C362" s="9" t="n">
        <v>14</v>
      </c>
      <c r="D362" s="9" t="n">
        <v>8</v>
      </c>
      <c r="E362" s="10">
        <f>COMBIN(A362,D362)/COMBIN(A362-B362,D362)</f>
        <v/>
      </c>
      <c r="F362" s="11">
        <f>ROUNDUP(E362*Controls!$B$4,4)</f>
        <v/>
      </c>
      <c r="G362" s="12">
        <f>F362/E362</f>
        <v/>
      </c>
      <c r="H362" s="10">
        <f>(A362-B362-(D362-1))/(A362-(D362-1))</f>
        <v/>
      </c>
      <c r="I362" s="9">
        <f>A362&amp;'x'&amp;B362</f>
        <v/>
      </c>
      <c r="J362" s="9">
        <f>IF(AND(G362&gt;0.9,G362&lt;1),"OK","CHECK")</f>
        <v/>
      </c>
    </row>
    <row r="363">
      <c r="A363" s="9" t="n">
        <v>25</v>
      </c>
      <c r="B363" s="9" t="n">
        <v>11</v>
      </c>
      <c r="C363" s="9" t="n">
        <v>14</v>
      </c>
      <c r="D363" s="9" t="n">
        <v>9</v>
      </c>
      <c r="E363" s="10">
        <f>COMBIN(A363,D363)/COMBIN(A363-B363,D363)</f>
        <v/>
      </c>
      <c r="F363" s="11">
        <f>ROUNDUP(E363*Controls!$B$4,4)</f>
        <v/>
      </c>
      <c r="G363" s="12">
        <f>F363/E363</f>
        <v/>
      </c>
      <c r="H363" s="10">
        <f>(A363-B363-(D363-1))/(A363-(D363-1))</f>
        <v/>
      </c>
      <c r="I363" s="9">
        <f>A363&amp;'x'&amp;B363</f>
        <v/>
      </c>
      <c r="J363" s="9">
        <f>IF(AND(G363&gt;0.9,G363&lt;1),"OK","CHECK")</f>
        <v/>
      </c>
    </row>
    <row r="364">
      <c r="A364" s="9" t="n">
        <v>25</v>
      </c>
      <c r="B364" s="9" t="n">
        <v>11</v>
      </c>
      <c r="C364" s="9" t="n">
        <v>14</v>
      </c>
      <c r="D364" s="9" t="n">
        <v>10</v>
      </c>
      <c r="E364" s="10">
        <f>COMBIN(A364,D364)/COMBIN(A364-B364,D364)</f>
        <v/>
      </c>
      <c r="F364" s="11">
        <f>ROUNDUP(E364*Controls!$B$4,4)</f>
        <v/>
      </c>
      <c r="G364" s="12">
        <f>F364/E364</f>
        <v/>
      </c>
      <c r="H364" s="10">
        <f>(A364-B364-(D364-1))/(A364-(D364-1))</f>
        <v/>
      </c>
      <c r="I364" s="9">
        <f>A364&amp;'x'&amp;B364</f>
        <v/>
      </c>
      <c r="J364" s="9">
        <f>IF(AND(G364&gt;0.9,G364&lt;1),"OK","CHECK")</f>
        <v/>
      </c>
    </row>
    <row r="365">
      <c r="A365" s="9" t="n">
        <v>25</v>
      </c>
      <c r="B365" s="9" t="n">
        <v>11</v>
      </c>
      <c r="C365" s="9" t="n">
        <v>14</v>
      </c>
      <c r="D365" s="9" t="n">
        <v>11</v>
      </c>
      <c r="E365" s="10">
        <f>COMBIN(A365,D365)/COMBIN(A365-B365,D365)</f>
        <v/>
      </c>
      <c r="F365" s="11">
        <f>ROUNDUP(E365*Controls!$B$4,4)</f>
        <v/>
      </c>
      <c r="G365" s="12">
        <f>F365/E365</f>
        <v/>
      </c>
      <c r="H365" s="10">
        <f>(A365-B365-(D365-1))/(A365-(D365-1))</f>
        <v/>
      </c>
      <c r="I365" s="9">
        <f>A365&amp;'x'&amp;B365</f>
        <v/>
      </c>
      <c r="J365" s="9">
        <f>IF(AND(G365&gt;0.9,G365&lt;1),"OK","CHECK")</f>
        <v/>
      </c>
    </row>
    <row r="366">
      <c r="A366" s="9" t="n">
        <v>25</v>
      </c>
      <c r="B366" s="9" t="n">
        <v>11</v>
      </c>
      <c r="C366" s="9" t="n">
        <v>14</v>
      </c>
      <c r="D366" s="9" t="n">
        <v>12</v>
      </c>
      <c r="E366" s="10">
        <f>COMBIN(A366,D366)/COMBIN(A366-B366,D366)</f>
        <v/>
      </c>
      <c r="F366" s="11">
        <f>ROUNDUP(E366*Controls!$B$4,4)</f>
        <v/>
      </c>
      <c r="G366" s="12">
        <f>F366/E366</f>
        <v/>
      </c>
      <c r="H366" s="10">
        <f>(A366-B366-(D366-1))/(A366-(D366-1))</f>
        <v/>
      </c>
      <c r="I366" s="9">
        <f>A366&amp;'x'&amp;B366</f>
        <v/>
      </c>
      <c r="J366" s="9">
        <f>IF(AND(G366&gt;0.9,G366&lt;1),"OK","CHECK")</f>
        <v/>
      </c>
    </row>
    <row r="367">
      <c r="A367" s="9" t="n">
        <v>25</v>
      </c>
      <c r="B367" s="9" t="n">
        <v>11</v>
      </c>
      <c r="C367" s="9" t="n">
        <v>14</v>
      </c>
      <c r="D367" s="9" t="n">
        <v>13</v>
      </c>
      <c r="E367" s="10">
        <f>COMBIN(A367,D367)/COMBIN(A367-B367,D367)</f>
        <v/>
      </c>
      <c r="F367" s="11">
        <f>ROUNDUP(E367*Controls!$B$4,4)</f>
        <v/>
      </c>
      <c r="G367" s="12">
        <f>F367/E367</f>
        <v/>
      </c>
      <c r="H367" s="10">
        <f>(A367-B367-(D367-1))/(A367-(D367-1))</f>
        <v/>
      </c>
      <c r="I367" s="9">
        <f>A367&amp;'x'&amp;B367</f>
        <v/>
      </c>
      <c r="J367" s="9">
        <f>IF(AND(G367&gt;0.9,G367&lt;1),"OK","CHECK")</f>
        <v/>
      </c>
    </row>
    <row r="368">
      <c r="A368" s="9" t="n">
        <v>25</v>
      </c>
      <c r="B368" s="9" t="n">
        <v>11</v>
      </c>
      <c r="C368" s="9" t="n">
        <v>14</v>
      </c>
      <c r="D368" s="9" t="n">
        <v>14</v>
      </c>
      <c r="E368" s="10">
        <f>COMBIN(A368,D368)/COMBIN(A368-B368,D368)</f>
        <v/>
      </c>
      <c r="F368" s="11">
        <f>ROUNDUP(E368*Controls!$B$4,4)</f>
        <v/>
      </c>
      <c r="G368" s="12">
        <f>F368/E368</f>
        <v/>
      </c>
      <c r="H368" s="10">
        <f>(A368-B368-(D368-1))/(A368-(D368-1))</f>
        <v/>
      </c>
      <c r="I368" s="9">
        <f>A368&amp;'x'&amp;B368</f>
        <v/>
      </c>
      <c r="J368" s="9">
        <f>IF(AND(G368&gt;0.9,G368&lt;1),"OK","CHECK")</f>
        <v/>
      </c>
    </row>
    <row r="369">
      <c r="A369" s="9" t="n">
        <v>25</v>
      </c>
      <c r="B369" s="9" t="n">
        <v>12</v>
      </c>
      <c r="C369" s="9" t="n">
        <v>13</v>
      </c>
      <c r="D369" s="9" t="n">
        <v>1</v>
      </c>
      <c r="E369" s="10">
        <f>COMBIN(A369,D369)/COMBIN(A369-B369,D369)</f>
        <v/>
      </c>
      <c r="F369" s="11">
        <f>ROUNDUP(E369*Controls!$B$4,4)</f>
        <v/>
      </c>
      <c r="G369" s="12">
        <f>F369/E369</f>
        <v/>
      </c>
      <c r="H369" s="10">
        <f>(A369-B369-(D369-1))/(A369-(D369-1))</f>
        <v/>
      </c>
      <c r="I369" s="9">
        <f>A369&amp;'x'&amp;B369</f>
        <v/>
      </c>
      <c r="J369" s="9">
        <f>IF(AND(G369&gt;0.9,G369&lt;1),"OK","CHECK")</f>
        <v/>
      </c>
    </row>
    <row r="370">
      <c r="A370" s="9" t="n">
        <v>25</v>
      </c>
      <c r="B370" s="9" t="n">
        <v>12</v>
      </c>
      <c r="C370" s="9" t="n">
        <v>13</v>
      </c>
      <c r="D370" s="9" t="n">
        <v>2</v>
      </c>
      <c r="E370" s="10">
        <f>COMBIN(A370,D370)/COMBIN(A370-B370,D370)</f>
        <v/>
      </c>
      <c r="F370" s="11">
        <f>ROUNDUP(E370*Controls!$B$4,4)</f>
        <v/>
      </c>
      <c r="G370" s="12">
        <f>F370/E370</f>
        <v/>
      </c>
      <c r="H370" s="10">
        <f>(A370-B370-(D370-1))/(A370-(D370-1))</f>
        <v/>
      </c>
      <c r="I370" s="9">
        <f>A370&amp;'x'&amp;B370</f>
        <v/>
      </c>
      <c r="J370" s="9">
        <f>IF(AND(G370&gt;0.9,G370&lt;1),"OK","CHECK")</f>
        <v/>
      </c>
    </row>
    <row r="371">
      <c r="A371" s="9" t="n">
        <v>25</v>
      </c>
      <c r="B371" s="9" t="n">
        <v>12</v>
      </c>
      <c r="C371" s="9" t="n">
        <v>13</v>
      </c>
      <c r="D371" s="9" t="n">
        <v>3</v>
      </c>
      <c r="E371" s="10">
        <f>COMBIN(A371,D371)/COMBIN(A371-B371,D371)</f>
        <v/>
      </c>
      <c r="F371" s="11">
        <f>ROUNDUP(E371*Controls!$B$4,4)</f>
        <v/>
      </c>
      <c r="G371" s="12">
        <f>F371/E371</f>
        <v/>
      </c>
      <c r="H371" s="10">
        <f>(A371-B371-(D371-1))/(A371-(D371-1))</f>
        <v/>
      </c>
      <c r="I371" s="9">
        <f>A371&amp;'x'&amp;B371</f>
        <v/>
      </c>
      <c r="J371" s="9">
        <f>IF(AND(G371&gt;0.9,G371&lt;1),"OK","CHECK")</f>
        <v/>
      </c>
    </row>
    <row r="372">
      <c r="A372" s="9" t="n">
        <v>25</v>
      </c>
      <c r="B372" s="9" t="n">
        <v>12</v>
      </c>
      <c r="C372" s="9" t="n">
        <v>13</v>
      </c>
      <c r="D372" s="9" t="n">
        <v>4</v>
      </c>
      <c r="E372" s="10">
        <f>COMBIN(A372,D372)/COMBIN(A372-B372,D372)</f>
        <v/>
      </c>
      <c r="F372" s="11">
        <f>ROUNDUP(E372*Controls!$B$4,4)</f>
        <v/>
      </c>
      <c r="G372" s="12">
        <f>F372/E372</f>
        <v/>
      </c>
      <c r="H372" s="10">
        <f>(A372-B372-(D372-1))/(A372-(D372-1))</f>
        <v/>
      </c>
      <c r="I372" s="9">
        <f>A372&amp;'x'&amp;B372</f>
        <v/>
      </c>
      <c r="J372" s="9">
        <f>IF(AND(G372&gt;0.9,G372&lt;1),"OK","CHECK")</f>
        <v/>
      </c>
    </row>
    <row r="373">
      <c r="A373" s="9" t="n">
        <v>25</v>
      </c>
      <c r="B373" s="9" t="n">
        <v>12</v>
      </c>
      <c r="C373" s="9" t="n">
        <v>13</v>
      </c>
      <c r="D373" s="9" t="n">
        <v>5</v>
      </c>
      <c r="E373" s="10">
        <f>COMBIN(A373,D373)/COMBIN(A373-B373,D373)</f>
        <v/>
      </c>
      <c r="F373" s="11">
        <f>ROUNDUP(E373*Controls!$B$4,4)</f>
        <v/>
      </c>
      <c r="G373" s="12">
        <f>F373/E373</f>
        <v/>
      </c>
      <c r="H373" s="10">
        <f>(A373-B373-(D373-1))/(A373-(D373-1))</f>
        <v/>
      </c>
      <c r="I373" s="9">
        <f>A373&amp;'x'&amp;B373</f>
        <v/>
      </c>
      <c r="J373" s="9">
        <f>IF(AND(G373&gt;0.9,G373&lt;1),"OK","CHECK")</f>
        <v/>
      </c>
    </row>
    <row r="374">
      <c r="A374" s="9" t="n">
        <v>25</v>
      </c>
      <c r="B374" s="9" t="n">
        <v>12</v>
      </c>
      <c r="C374" s="9" t="n">
        <v>13</v>
      </c>
      <c r="D374" s="9" t="n">
        <v>6</v>
      </c>
      <c r="E374" s="10">
        <f>COMBIN(A374,D374)/COMBIN(A374-B374,D374)</f>
        <v/>
      </c>
      <c r="F374" s="11">
        <f>ROUNDUP(E374*Controls!$B$4,4)</f>
        <v/>
      </c>
      <c r="G374" s="12">
        <f>F374/E374</f>
        <v/>
      </c>
      <c r="H374" s="10">
        <f>(A374-B374-(D374-1))/(A374-(D374-1))</f>
        <v/>
      </c>
      <c r="I374" s="9">
        <f>A374&amp;'x'&amp;B374</f>
        <v/>
      </c>
      <c r="J374" s="9">
        <f>IF(AND(G374&gt;0.9,G374&lt;1),"OK","CHECK")</f>
        <v/>
      </c>
    </row>
    <row r="375">
      <c r="A375" s="9" t="n">
        <v>25</v>
      </c>
      <c r="B375" s="9" t="n">
        <v>12</v>
      </c>
      <c r="C375" s="9" t="n">
        <v>13</v>
      </c>
      <c r="D375" s="9" t="n">
        <v>7</v>
      </c>
      <c r="E375" s="10">
        <f>COMBIN(A375,D375)/COMBIN(A375-B375,D375)</f>
        <v/>
      </c>
      <c r="F375" s="11">
        <f>ROUNDUP(E375*Controls!$B$4,4)</f>
        <v/>
      </c>
      <c r="G375" s="12">
        <f>F375/E375</f>
        <v/>
      </c>
      <c r="H375" s="10">
        <f>(A375-B375-(D375-1))/(A375-(D375-1))</f>
        <v/>
      </c>
      <c r="I375" s="9">
        <f>A375&amp;'x'&amp;B375</f>
        <v/>
      </c>
      <c r="J375" s="9">
        <f>IF(AND(G375&gt;0.9,G375&lt;1),"OK","CHECK")</f>
        <v/>
      </c>
    </row>
    <row r="376">
      <c r="A376" s="9" t="n">
        <v>25</v>
      </c>
      <c r="B376" s="9" t="n">
        <v>12</v>
      </c>
      <c r="C376" s="9" t="n">
        <v>13</v>
      </c>
      <c r="D376" s="9" t="n">
        <v>8</v>
      </c>
      <c r="E376" s="10">
        <f>COMBIN(A376,D376)/COMBIN(A376-B376,D376)</f>
        <v/>
      </c>
      <c r="F376" s="11">
        <f>ROUNDUP(E376*Controls!$B$4,4)</f>
        <v/>
      </c>
      <c r="G376" s="12">
        <f>F376/E376</f>
        <v/>
      </c>
      <c r="H376" s="10">
        <f>(A376-B376-(D376-1))/(A376-(D376-1))</f>
        <v/>
      </c>
      <c r="I376" s="9">
        <f>A376&amp;'x'&amp;B376</f>
        <v/>
      </c>
      <c r="J376" s="9">
        <f>IF(AND(G376&gt;0.9,G376&lt;1),"OK","CHECK")</f>
        <v/>
      </c>
    </row>
    <row r="377">
      <c r="A377" s="9" t="n">
        <v>25</v>
      </c>
      <c r="B377" s="9" t="n">
        <v>12</v>
      </c>
      <c r="C377" s="9" t="n">
        <v>13</v>
      </c>
      <c r="D377" s="9" t="n">
        <v>9</v>
      </c>
      <c r="E377" s="10">
        <f>COMBIN(A377,D377)/COMBIN(A377-B377,D377)</f>
        <v/>
      </c>
      <c r="F377" s="11">
        <f>ROUNDUP(E377*Controls!$B$4,4)</f>
        <v/>
      </c>
      <c r="G377" s="12">
        <f>F377/E377</f>
        <v/>
      </c>
      <c r="H377" s="10">
        <f>(A377-B377-(D377-1))/(A377-(D377-1))</f>
        <v/>
      </c>
      <c r="I377" s="9">
        <f>A377&amp;'x'&amp;B377</f>
        <v/>
      </c>
      <c r="J377" s="9">
        <f>IF(AND(G377&gt;0.9,G377&lt;1),"OK","CHECK")</f>
        <v/>
      </c>
    </row>
    <row r="378">
      <c r="A378" s="9" t="n">
        <v>25</v>
      </c>
      <c r="B378" s="9" t="n">
        <v>12</v>
      </c>
      <c r="C378" s="9" t="n">
        <v>13</v>
      </c>
      <c r="D378" s="9" t="n">
        <v>10</v>
      </c>
      <c r="E378" s="10">
        <f>COMBIN(A378,D378)/COMBIN(A378-B378,D378)</f>
        <v/>
      </c>
      <c r="F378" s="11">
        <f>ROUNDUP(E378*Controls!$B$4,4)</f>
        <v/>
      </c>
      <c r="G378" s="12">
        <f>F378/E378</f>
        <v/>
      </c>
      <c r="H378" s="10">
        <f>(A378-B378-(D378-1))/(A378-(D378-1))</f>
        <v/>
      </c>
      <c r="I378" s="9">
        <f>A378&amp;'x'&amp;B378</f>
        <v/>
      </c>
      <c r="J378" s="9">
        <f>IF(AND(G378&gt;0.9,G378&lt;1),"OK","CHECK")</f>
        <v/>
      </c>
    </row>
    <row r="379">
      <c r="A379" s="9" t="n">
        <v>25</v>
      </c>
      <c r="B379" s="9" t="n">
        <v>12</v>
      </c>
      <c r="C379" s="9" t="n">
        <v>13</v>
      </c>
      <c r="D379" s="9" t="n">
        <v>11</v>
      </c>
      <c r="E379" s="10">
        <f>COMBIN(A379,D379)/COMBIN(A379-B379,D379)</f>
        <v/>
      </c>
      <c r="F379" s="11">
        <f>ROUNDUP(E379*Controls!$B$4,4)</f>
        <v/>
      </c>
      <c r="G379" s="12">
        <f>F379/E379</f>
        <v/>
      </c>
      <c r="H379" s="10">
        <f>(A379-B379-(D379-1))/(A379-(D379-1))</f>
        <v/>
      </c>
      <c r="I379" s="9">
        <f>A379&amp;'x'&amp;B379</f>
        <v/>
      </c>
      <c r="J379" s="9">
        <f>IF(AND(G379&gt;0.9,G379&lt;1),"OK","CHECK")</f>
        <v/>
      </c>
    </row>
    <row r="380">
      <c r="A380" s="9" t="n">
        <v>25</v>
      </c>
      <c r="B380" s="9" t="n">
        <v>12</v>
      </c>
      <c r="C380" s="9" t="n">
        <v>13</v>
      </c>
      <c r="D380" s="9" t="n">
        <v>12</v>
      </c>
      <c r="E380" s="10">
        <f>COMBIN(A380,D380)/COMBIN(A380-B380,D380)</f>
        <v/>
      </c>
      <c r="F380" s="11">
        <f>ROUNDUP(E380*Controls!$B$4,4)</f>
        <v/>
      </c>
      <c r="G380" s="12">
        <f>F380/E380</f>
        <v/>
      </c>
      <c r="H380" s="10">
        <f>(A380-B380-(D380-1))/(A380-(D380-1))</f>
        <v/>
      </c>
      <c r="I380" s="9">
        <f>A380&amp;'x'&amp;B380</f>
        <v/>
      </c>
      <c r="J380" s="9">
        <f>IF(AND(G380&gt;0.9,G380&lt;1),"OK","CHECK")</f>
        <v/>
      </c>
    </row>
    <row r="381">
      <c r="A381" s="9" t="n">
        <v>25</v>
      </c>
      <c r="B381" s="9" t="n">
        <v>12</v>
      </c>
      <c r="C381" s="9" t="n">
        <v>13</v>
      </c>
      <c r="D381" s="9" t="n">
        <v>13</v>
      </c>
      <c r="E381" s="10">
        <f>COMBIN(A381,D381)/COMBIN(A381-B381,D381)</f>
        <v/>
      </c>
      <c r="F381" s="11">
        <f>ROUNDUP(E381*Controls!$B$4,4)</f>
        <v/>
      </c>
      <c r="G381" s="12">
        <f>F381/E381</f>
        <v/>
      </c>
      <c r="H381" s="10">
        <f>(A381-B381-(D381-1))/(A381-(D381-1))</f>
        <v/>
      </c>
      <c r="I381" s="9">
        <f>A381&amp;'x'&amp;B381</f>
        <v/>
      </c>
      <c r="J381" s="9">
        <f>IF(AND(G381&gt;0.9,G381&lt;1),"OK","CHECK")</f>
        <v/>
      </c>
    </row>
    <row r="382">
      <c r="A382" s="9" t="n">
        <v>25</v>
      </c>
      <c r="B382" s="9" t="n">
        <v>13</v>
      </c>
      <c r="C382" s="9" t="n">
        <v>12</v>
      </c>
      <c r="D382" s="9" t="n">
        <v>1</v>
      </c>
      <c r="E382" s="10">
        <f>COMBIN(A382,D382)/COMBIN(A382-B382,D382)</f>
        <v/>
      </c>
      <c r="F382" s="11">
        <f>ROUNDUP(E382*Controls!$B$4,4)</f>
        <v/>
      </c>
      <c r="G382" s="12">
        <f>F382/E382</f>
        <v/>
      </c>
      <c r="H382" s="10">
        <f>(A382-B382-(D382-1))/(A382-(D382-1))</f>
        <v/>
      </c>
      <c r="I382" s="9">
        <f>A382&amp;'x'&amp;B382</f>
        <v/>
      </c>
      <c r="J382" s="9">
        <f>IF(AND(G382&gt;0.9,G382&lt;1),"OK","CHECK")</f>
        <v/>
      </c>
    </row>
    <row r="383">
      <c r="A383" s="9" t="n">
        <v>25</v>
      </c>
      <c r="B383" s="9" t="n">
        <v>13</v>
      </c>
      <c r="C383" s="9" t="n">
        <v>12</v>
      </c>
      <c r="D383" s="9" t="n">
        <v>2</v>
      </c>
      <c r="E383" s="10">
        <f>COMBIN(A383,D383)/COMBIN(A383-B383,D383)</f>
        <v/>
      </c>
      <c r="F383" s="11">
        <f>ROUNDUP(E383*Controls!$B$4,4)</f>
        <v/>
      </c>
      <c r="G383" s="12">
        <f>F383/E383</f>
        <v/>
      </c>
      <c r="H383" s="10">
        <f>(A383-B383-(D383-1))/(A383-(D383-1))</f>
        <v/>
      </c>
      <c r="I383" s="9">
        <f>A383&amp;'x'&amp;B383</f>
        <v/>
      </c>
      <c r="J383" s="9">
        <f>IF(AND(G383&gt;0.9,G383&lt;1),"OK","CHECK")</f>
        <v/>
      </c>
    </row>
    <row r="384">
      <c r="A384" s="9" t="n">
        <v>25</v>
      </c>
      <c r="B384" s="9" t="n">
        <v>13</v>
      </c>
      <c r="C384" s="9" t="n">
        <v>12</v>
      </c>
      <c r="D384" s="9" t="n">
        <v>3</v>
      </c>
      <c r="E384" s="10">
        <f>COMBIN(A384,D384)/COMBIN(A384-B384,D384)</f>
        <v/>
      </c>
      <c r="F384" s="11">
        <f>ROUNDUP(E384*Controls!$B$4,4)</f>
        <v/>
      </c>
      <c r="G384" s="12">
        <f>F384/E384</f>
        <v/>
      </c>
      <c r="H384" s="10">
        <f>(A384-B384-(D384-1))/(A384-(D384-1))</f>
        <v/>
      </c>
      <c r="I384" s="9">
        <f>A384&amp;'x'&amp;B384</f>
        <v/>
      </c>
      <c r="J384" s="9">
        <f>IF(AND(G384&gt;0.9,G384&lt;1),"OK","CHECK")</f>
        <v/>
      </c>
    </row>
    <row r="385">
      <c r="A385" s="9" t="n">
        <v>25</v>
      </c>
      <c r="B385" s="9" t="n">
        <v>13</v>
      </c>
      <c r="C385" s="9" t="n">
        <v>12</v>
      </c>
      <c r="D385" s="9" t="n">
        <v>4</v>
      </c>
      <c r="E385" s="10">
        <f>COMBIN(A385,D385)/COMBIN(A385-B385,D385)</f>
        <v/>
      </c>
      <c r="F385" s="11">
        <f>ROUNDUP(E385*Controls!$B$4,4)</f>
        <v/>
      </c>
      <c r="G385" s="12">
        <f>F385/E385</f>
        <v/>
      </c>
      <c r="H385" s="10">
        <f>(A385-B385-(D385-1))/(A385-(D385-1))</f>
        <v/>
      </c>
      <c r="I385" s="9">
        <f>A385&amp;'x'&amp;B385</f>
        <v/>
      </c>
      <c r="J385" s="9">
        <f>IF(AND(G385&gt;0.9,G385&lt;1),"OK","CHECK")</f>
        <v/>
      </c>
    </row>
    <row r="386">
      <c r="A386" s="9" t="n">
        <v>25</v>
      </c>
      <c r="B386" s="9" t="n">
        <v>13</v>
      </c>
      <c r="C386" s="9" t="n">
        <v>12</v>
      </c>
      <c r="D386" s="9" t="n">
        <v>5</v>
      </c>
      <c r="E386" s="10">
        <f>COMBIN(A386,D386)/COMBIN(A386-B386,D386)</f>
        <v/>
      </c>
      <c r="F386" s="11">
        <f>ROUNDUP(E386*Controls!$B$4,4)</f>
        <v/>
      </c>
      <c r="G386" s="12">
        <f>F386/E386</f>
        <v/>
      </c>
      <c r="H386" s="10">
        <f>(A386-B386-(D386-1))/(A386-(D386-1))</f>
        <v/>
      </c>
      <c r="I386" s="9">
        <f>A386&amp;'x'&amp;B386</f>
        <v/>
      </c>
      <c r="J386" s="9">
        <f>IF(AND(G386&gt;0.9,G386&lt;1),"OK","CHECK")</f>
        <v/>
      </c>
    </row>
    <row r="387">
      <c r="A387" s="9" t="n">
        <v>25</v>
      </c>
      <c r="B387" s="9" t="n">
        <v>13</v>
      </c>
      <c r="C387" s="9" t="n">
        <v>12</v>
      </c>
      <c r="D387" s="9" t="n">
        <v>6</v>
      </c>
      <c r="E387" s="10">
        <f>COMBIN(A387,D387)/COMBIN(A387-B387,D387)</f>
        <v/>
      </c>
      <c r="F387" s="11">
        <f>ROUNDUP(E387*Controls!$B$4,4)</f>
        <v/>
      </c>
      <c r="G387" s="12">
        <f>F387/E387</f>
        <v/>
      </c>
      <c r="H387" s="10">
        <f>(A387-B387-(D387-1))/(A387-(D387-1))</f>
        <v/>
      </c>
      <c r="I387" s="9">
        <f>A387&amp;'x'&amp;B387</f>
        <v/>
      </c>
      <c r="J387" s="9">
        <f>IF(AND(G387&gt;0.9,G387&lt;1),"OK","CHECK")</f>
        <v/>
      </c>
    </row>
    <row r="388">
      <c r="A388" s="9" t="n">
        <v>25</v>
      </c>
      <c r="B388" s="9" t="n">
        <v>13</v>
      </c>
      <c r="C388" s="9" t="n">
        <v>12</v>
      </c>
      <c r="D388" s="9" t="n">
        <v>7</v>
      </c>
      <c r="E388" s="10">
        <f>COMBIN(A388,D388)/COMBIN(A388-B388,D388)</f>
        <v/>
      </c>
      <c r="F388" s="11">
        <f>ROUNDUP(E388*Controls!$B$4,4)</f>
        <v/>
      </c>
      <c r="G388" s="12">
        <f>F388/E388</f>
        <v/>
      </c>
      <c r="H388" s="10">
        <f>(A388-B388-(D388-1))/(A388-(D388-1))</f>
        <v/>
      </c>
      <c r="I388" s="9">
        <f>A388&amp;'x'&amp;B388</f>
        <v/>
      </c>
      <c r="J388" s="9">
        <f>IF(AND(G388&gt;0.9,G388&lt;1),"OK","CHECK")</f>
        <v/>
      </c>
    </row>
    <row r="389">
      <c r="A389" s="9" t="n">
        <v>25</v>
      </c>
      <c r="B389" s="9" t="n">
        <v>13</v>
      </c>
      <c r="C389" s="9" t="n">
        <v>12</v>
      </c>
      <c r="D389" s="9" t="n">
        <v>8</v>
      </c>
      <c r="E389" s="10">
        <f>COMBIN(A389,D389)/COMBIN(A389-B389,D389)</f>
        <v/>
      </c>
      <c r="F389" s="11">
        <f>ROUNDUP(E389*Controls!$B$4,4)</f>
        <v/>
      </c>
      <c r="G389" s="12">
        <f>F389/E389</f>
        <v/>
      </c>
      <c r="H389" s="10">
        <f>(A389-B389-(D389-1))/(A389-(D389-1))</f>
        <v/>
      </c>
      <c r="I389" s="9">
        <f>A389&amp;'x'&amp;B389</f>
        <v/>
      </c>
      <c r="J389" s="9">
        <f>IF(AND(G389&gt;0.9,G389&lt;1),"OK","CHECK")</f>
        <v/>
      </c>
    </row>
    <row r="390">
      <c r="A390" s="9" t="n">
        <v>25</v>
      </c>
      <c r="B390" s="9" t="n">
        <v>13</v>
      </c>
      <c r="C390" s="9" t="n">
        <v>12</v>
      </c>
      <c r="D390" s="9" t="n">
        <v>9</v>
      </c>
      <c r="E390" s="10">
        <f>COMBIN(A390,D390)/COMBIN(A390-B390,D390)</f>
        <v/>
      </c>
      <c r="F390" s="11">
        <f>ROUNDUP(E390*Controls!$B$4,4)</f>
        <v/>
      </c>
      <c r="G390" s="12">
        <f>F390/E390</f>
        <v/>
      </c>
      <c r="H390" s="10">
        <f>(A390-B390-(D390-1))/(A390-(D390-1))</f>
        <v/>
      </c>
      <c r="I390" s="9">
        <f>A390&amp;'x'&amp;B390</f>
        <v/>
      </c>
      <c r="J390" s="9">
        <f>IF(AND(G390&gt;0.9,G390&lt;1),"OK","CHECK")</f>
        <v/>
      </c>
    </row>
    <row r="391">
      <c r="A391" s="9" t="n">
        <v>25</v>
      </c>
      <c r="B391" s="9" t="n">
        <v>13</v>
      </c>
      <c r="C391" s="9" t="n">
        <v>12</v>
      </c>
      <c r="D391" s="9" t="n">
        <v>10</v>
      </c>
      <c r="E391" s="10">
        <f>COMBIN(A391,D391)/COMBIN(A391-B391,D391)</f>
        <v/>
      </c>
      <c r="F391" s="11">
        <f>ROUNDUP(E391*Controls!$B$4,4)</f>
        <v/>
      </c>
      <c r="G391" s="12">
        <f>F391/E391</f>
        <v/>
      </c>
      <c r="H391" s="10">
        <f>(A391-B391-(D391-1))/(A391-(D391-1))</f>
        <v/>
      </c>
      <c r="I391" s="9">
        <f>A391&amp;'x'&amp;B391</f>
        <v/>
      </c>
      <c r="J391" s="9">
        <f>IF(AND(G391&gt;0.9,G391&lt;1),"OK","CHECK")</f>
        <v/>
      </c>
    </row>
    <row r="392">
      <c r="A392" s="9" t="n">
        <v>25</v>
      </c>
      <c r="B392" s="9" t="n">
        <v>13</v>
      </c>
      <c r="C392" s="9" t="n">
        <v>12</v>
      </c>
      <c r="D392" s="9" t="n">
        <v>11</v>
      </c>
      <c r="E392" s="10">
        <f>COMBIN(A392,D392)/COMBIN(A392-B392,D392)</f>
        <v/>
      </c>
      <c r="F392" s="11">
        <f>ROUNDUP(E392*Controls!$B$4,4)</f>
        <v/>
      </c>
      <c r="G392" s="12">
        <f>F392/E392</f>
        <v/>
      </c>
      <c r="H392" s="10">
        <f>(A392-B392-(D392-1))/(A392-(D392-1))</f>
        <v/>
      </c>
      <c r="I392" s="9">
        <f>A392&amp;'x'&amp;B392</f>
        <v/>
      </c>
      <c r="J392" s="9">
        <f>IF(AND(G392&gt;0.9,G392&lt;1),"OK","CHECK")</f>
        <v/>
      </c>
    </row>
    <row r="393">
      <c r="A393" s="9" t="n">
        <v>25</v>
      </c>
      <c r="B393" s="9" t="n">
        <v>13</v>
      </c>
      <c r="C393" s="9" t="n">
        <v>12</v>
      </c>
      <c r="D393" s="9" t="n">
        <v>12</v>
      </c>
      <c r="E393" s="10">
        <f>COMBIN(A393,D393)/COMBIN(A393-B393,D393)</f>
        <v/>
      </c>
      <c r="F393" s="11">
        <f>ROUNDUP(E393*Controls!$B$4,4)</f>
        <v/>
      </c>
      <c r="G393" s="12">
        <f>F393/E393</f>
        <v/>
      </c>
      <c r="H393" s="10">
        <f>(A393-B393-(D393-1))/(A393-(D393-1))</f>
        <v/>
      </c>
      <c r="I393" s="9">
        <f>A393&amp;'x'&amp;B393</f>
        <v/>
      </c>
      <c r="J393" s="9">
        <f>IF(AND(G393&gt;0.9,G393&lt;1),"OK","CHECK")</f>
        <v/>
      </c>
    </row>
    <row r="394">
      <c r="A394" s="9" t="n">
        <v>25</v>
      </c>
      <c r="B394" s="9" t="n">
        <v>14</v>
      </c>
      <c r="C394" s="9" t="n">
        <v>11</v>
      </c>
      <c r="D394" s="9" t="n">
        <v>1</v>
      </c>
      <c r="E394" s="10">
        <f>COMBIN(A394,D394)/COMBIN(A394-B394,D394)</f>
        <v/>
      </c>
      <c r="F394" s="11">
        <f>ROUNDUP(E394*Controls!$B$4,4)</f>
        <v/>
      </c>
      <c r="G394" s="12">
        <f>F394/E394</f>
        <v/>
      </c>
      <c r="H394" s="10">
        <f>(A394-B394-(D394-1))/(A394-(D394-1))</f>
        <v/>
      </c>
      <c r="I394" s="9">
        <f>A394&amp;'x'&amp;B394</f>
        <v/>
      </c>
      <c r="J394" s="9">
        <f>IF(AND(G394&gt;0.9,G394&lt;1),"OK","CHECK")</f>
        <v/>
      </c>
    </row>
    <row r="395">
      <c r="A395" s="9" t="n">
        <v>25</v>
      </c>
      <c r="B395" s="9" t="n">
        <v>14</v>
      </c>
      <c r="C395" s="9" t="n">
        <v>11</v>
      </c>
      <c r="D395" s="9" t="n">
        <v>2</v>
      </c>
      <c r="E395" s="10">
        <f>COMBIN(A395,D395)/COMBIN(A395-B395,D395)</f>
        <v/>
      </c>
      <c r="F395" s="11">
        <f>ROUNDUP(E395*Controls!$B$4,4)</f>
        <v/>
      </c>
      <c r="G395" s="12">
        <f>F395/E395</f>
        <v/>
      </c>
      <c r="H395" s="10">
        <f>(A395-B395-(D395-1))/(A395-(D395-1))</f>
        <v/>
      </c>
      <c r="I395" s="9">
        <f>A395&amp;'x'&amp;B395</f>
        <v/>
      </c>
      <c r="J395" s="9">
        <f>IF(AND(G395&gt;0.9,G395&lt;1),"OK","CHECK")</f>
        <v/>
      </c>
    </row>
    <row r="396">
      <c r="A396" s="9" t="n">
        <v>25</v>
      </c>
      <c r="B396" s="9" t="n">
        <v>14</v>
      </c>
      <c r="C396" s="9" t="n">
        <v>11</v>
      </c>
      <c r="D396" s="9" t="n">
        <v>3</v>
      </c>
      <c r="E396" s="10">
        <f>COMBIN(A396,D396)/COMBIN(A396-B396,D396)</f>
        <v/>
      </c>
      <c r="F396" s="11">
        <f>ROUNDUP(E396*Controls!$B$4,4)</f>
        <v/>
      </c>
      <c r="G396" s="12">
        <f>F396/E396</f>
        <v/>
      </c>
      <c r="H396" s="10">
        <f>(A396-B396-(D396-1))/(A396-(D396-1))</f>
        <v/>
      </c>
      <c r="I396" s="9">
        <f>A396&amp;'x'&amp;B396</f>
        <v/>
      </c>
      <c r="J396" s="9">
        <f>IF(AND(G396&gt;0.9,G396&lt;1),"OK","CHECK")</f>
        <v/>
      </c>
    </row>
    <row r="397">
      <c r="A397" s="9" t="n">
        <v>25</v>
      </c>
      <c r="B397" s="9" t="n">
        <v>14</v>
      </c>
      <c r="C397" s="9" t="n">
        <v>11</v>
      </c>
      <c r="D397" s="9" t="n">
        <v>4</v>
      </c>
      <c r="E397" s="10">
        <f>COMBIN(A397,D397)/COMBIN(A397-B397,D397)</f>
        <v/>
      </c>
      <c r="F397" s="11">
        <f>ROUNDUP(E397*Controls!$B$4,4)</f>
        <v/>
      </c>
      <c r="G397" s="12">
        <f>F397/E397</f>
        <v/>
      </c>
      <c r="H397" s="10">
        <f>(A397-B397-(D397-1))/(A397-(D397-1))</f>
        <v/>
      </c>
      <c r="I397" s="9">
        <f>A397&amp;'x'&amp;B397</f>
        <v/>
      </c>
      <c r="J397" s="9">
        <f>IF(AND(G397&gt;0.9,G397&lt;1),"OK","CHECK")</f>
        <v/>
      </c>
    </row>
    <row r="398">
      <c r="A398" s="9" t="n">
        <v>25</v>
      </c>
      <c r="B398" s="9" t="n">
        <v>14</v>
      </c>
      <c r="C398" s="9" t="n">
        <v>11</v>
      </c>
      <c r="D398" s="9" t="n">
        <v>5</v>
      </c>
      <c r="E398" s="10">
        <f>COMBIN(A398,D398)/COMBIN(A398-B398,D398)</f>
        <v/>
      </c>
      <c r="F398" s="11">
        <f>ROUNDUP(E398*Controls!$B$4,4)</f>
        <v/>
      </c>
      <c r="G398" s="12">
        <f>F398/E398</f>
        <v/>
      </c>
      <c r="H398" s="10">
        <f>(A398-B398-(D398-1))/(A398-(D398-1))</f>
        <v/>
      </c>
      <c r="I398" s="9">
        <f>A398&amp;'x'&amp;B398</f>
        <v/>
      </c>
      <c r="J398" s="9">
        <f>IF(AND(G398&gt;0.9,G398&lt;1),"OK","CHECK")</f>
        <v/>
      </c>
    </row>
    <row r="399">
      <c r="A399" s="9" t="n">
        <v>25</v>
      </c>
      <c r="B399" s="9" t="n">
        <v>14</v>
      </c>
      <c r="C399" s="9" t="n">
        <v>11</v>
      </c>
      <c r="D399" s="9" t="n">
        <v>6</v>
      </c>
      <c r="E399" s="10">
        <f>COMBIN(A399,D399)/COMBIN(A399-B399,D399)</f>
        <v/>
      </c>
      <c r="F399" s="11">
        <f>ROUNDUP(E399*Controls!$B$4,4)</f>
        <v/>
      </c>
      <c r="G399" s="12">
        <f>F399/E399</f>
        <v/>
      </c>
      <c r="H399" s="10">
        <f>(A399-B399-(D399-1))/(A399-(D399-1))</f>
        <v/>
      </c>
      <c r="I399" s="9">
        <f>A399&amp;'x'&amp;B399</f>
        <v/>
      </c>
      <c r="J399" s="9">
        <f>IF(AND(G399&gt;0.9,G399&lt;1),"OK","CHECK")</f>
        <v/>
      </c>
    </row>
    <row r="400">
      <c r="A400" s="9" t="n">
        <v>25</v>
      </c>
      <c r="B400" s="9" t="n">
        <v>14</v>
      </c>
      <c r="C400" s="9" t="n">
        <v>11</v>
      </c>
      <c r="D400" s="9" t="n">
        <v>7</v>
      </c>
      <c r="E400" s="10">
        <f>COMBIN(A400,D400)/COMBIN(A400-B400,D400)</f>
        <v/>
      </c>
      <c r="F400" s="11">
        <f>ROUNDUP(E400*Controls!$B$4,4)</f>
        <v/>
      </c>
      <c r="G400" s="12">
        <f>F400/E400</f>
        <v/>
      </c>
      <c r="H400" s="10">
        <f>(A400-B400-(D400-1))/(A400-(D400-1))</f>
        <v/>
      </c>
      <c r="I400" s="9">
        <f>A400&amp;'x'&amp;B400</f>
        <v/>
      </c>
      <c r="J400" s="9">
        <f>IF(AND(G400&gt;0.9,G400&lt;1),"OK","CHECK")</f>
        <v/>
      </c>
    </row>
    <row r="401">
      <c r="A401" s="9" t="n">
        <v>25</v>
      </c>
      <c r="B401" s="9" t="n">
        <v>14</v>
      </c>
      <c r="C401" s="9" t="n">
        <v>11</v>
      </c>
      <c r="D401" s="9" t="n">
        <v>8</v>
      </c>
      <c r="E401" s="10">
        <f>COMBIN(A401,D401)/COMBIN(A401-B401,D401)</f>
        <v/>
      </c>
      <c r="F401" s="11">
        <f>ROUNDUP(E401*Controls!$B$4,4)</f>
        <v/>
      </c>
      <c r="G401" s="12">
        <f>F401/E401</f>
        <v/>
      </c>
      <c r="H401" s="10">
        <f>(A401-B401-(D401-1))/(A401-(D401-1))</f>
        <v/>
      </c>
      <c r="I401" s="9">
        <f>A401&amp;'x'&amp;B401</f>
        <v/>
      </c>
      <c r="J401" s="9">
        <f>IF(AND(G401&gt;0.9,G401&lt;1),"OK","CHECK")</f>
        <v/>
      </c>
    </row>
    <row r="402">
      <c r="A402" s="9" t="n">
        <v>25</v>
      </c>
      <c r="B402" s="9" t="n">
        <v>14</v>
      </c>
      <c r="C402" s="9" t="n">
        <v>11</v>
      </c>
      <c r="D402" s="9" t="n">
        <v>9</v>
      </c>
      <c r="E402" s="10">
        <f>COMBIN(A402,D402)/COMBIN(A402-B402,D402)</f>
        <v/>
      </c>
      <c r="F402" s="11">
        <f>ROUNDUP(E402*Controls!$B$4,4)</f>
        <v/>
      </c>
      <c r="G402" s="12">
        <f>F402/E402</f>
        <v/>
      </c>
      <c r="H402" s="10">
        <f>(A402-B402-(D402-1))/(A402-(D402-1))</f>
        <v/>
      </c>
      <c r="I402" s="9">
        <f>A402&amp;'x'&amp;B402</f>
        <v/>
      </c>
      <c r="J402" s="9">
        <f>IF(AND(G402&gt;0.9,G402&lt;1),"OK","CHECK")</f>
        <v/>
      </c>
    </row>
    <row r="403">
      <c r="A403" s="9" t="n">
        <v>25</v>
      </c>
      <c r="B403" s="9" t="n">
        <v>14</v>
      </c>
      <c r="C403" s="9" t="n">
        <v>11</v>
      </c>
      <c r="D403" s="9" t="n">
        <v>10</v>
      </c>
      <c r="E403" s="10">
        <f>COMBIN(A403,D403)/COMBIN(A403-B403,D403)</f>
        <v/>
      </c>
      <c r="F403" s="11">
        <f>ROUNDUP(E403*Controls!$B$4,4)</f>
        <v/>
      </c>
      <c r="G403" s="12">
        <f>F403/E403</f>
        <v/>
      </c>
      <c r="H403" s="10">
        <f>(A403-B403-(D403-1))/(A403-(D403-1))</f>
        <v/>
      </c>
      <c r="I403" s="9">
        <f>A403&amp;'x'&amp;B403</f>
        <v/>
      </c>
      <c r="J403" s="9">
        <f>IF(AND(G403&gt;0.9,G403&lt;1),"OK","CHECK")</f>
        <v/>
      </c>
    </row>
    <row r="404">
      <c r="A404" s="9" t="n">
        <v>25</v>
      </c>
      <c r="B404" s="9" t="n">
        <v>14</v>
      </c>
      <c r="C404" s="9" t="n">
        <v>11</v>
      </c>
      <c r="D404" s="9" t="n">
        <v>11</v>
      </c>
      <c r="E404" s="10">
        <f>COMBIN(A404,D404)/COMBIN(A404-B404,D404)</f>
        <v/>
      </c>
      <c r="F404" s="11">
        <f>ROUNDUP(E404*Controls!$B$4,4)</f>
        <v/>
      </c>
      <c r="G404" s="12">
        <f>F404/E404</f>
        <v/>
      </c>
      <c r="H404" s="10">
        <f>(A404-B404-(D404-1))/(A404-(D404-1))</f>
        <v/>
      </c>
      <c r="I404" s="9">
        <f>A404&amp;'x'&amp;B404</f>
        <v/>
      </c>
      <c r="J404" s="9">
        <f>IF(AND(G404&gt;0.9,G404&lt;1),"OK","CHECK")</f>
        <v/>
      </c>
    </row>
    <row r="405">
      <c r="A405" s="9" t="n">
        <v>25</v>
      </c>
      <c r="B405" s="9" t="n">
        <v>15</v>
      </c>
      <c r="C405" s="9" t="n">
        <v>10</v>
      </c>
      <c r="D405" s="9" t="n">
        <v>1</v>
      </c>
      <c r="E405" s="10">
        <f>COMBIN(A405,D405)/COMBIN(A405-B405,D405)</f>
        <v/>
      </c>
      <c r="F405" s="11">
        <f>ROUNDUP(E405*Controls!$B$4,4)</f>
        <v/>
      </c>
      <c r="G405" s="12">
        <f>F405/E405</f>
        <v/>
      </c>
      <c r="H405" s="10">
        <f>(A405-B405-(D405-1))/(A405-(D405-1))</f>
        <v/>
      </c>
      <c r="I405" s="9">
        <f>A405&amp;'x'&amp;B405</f>
        <v/>
      </c>
      <c r="J405" s="9">
        <f>IF(AND(G405&gt;0.9,G405&lt;1),"OK","CHECK")</f>
        <v/>
      </c>
    </row>
    <row r="406">
      <c r="A406" s="9" t="n">
        <v>25</v>
      </c>
      <c r="B406" s="9" t="n">
        <v>15</v>
      </c>
      <c r="C406" s="9" t="n">
        <v>10</v>
      </c>
      <c r="D406" s="9" t="n">
        <v>2</v>
      </c>
      <c r="E406" s="10">
        <f>COMBIN(A406,D406)/COMBIN(A406-B406,D406)</f>
        <v/>
      </c>
      <c r="F406" s="11">
        <f>ROUNDUP(E406*Controls!$B$4,4)</f>
        <v/>
      </c>
      <c r="G406" s="12">
        <f>F406/E406</f>
        <v/>
      </c>
      <c r="H406" s="10">
        <f>(A406-B406-(D406-1))/(A406-(D406-1))</f>
        <v/>
      </c>
      <c r="I406" s="9">
        <f>A406&amp;'x'&amp;B406</f>
        <v/>
      </c>
      <c r="J406" s="9">
        <f>IF(AND(G406&gt;0.9,G406&lt;1),"OK","CHECK")</f>
        <v/>
      </c>
    </row>
    <row r="407">
      <c r="A407" s="9" t="n">
        <v>25</v>
      </c>
      <c r="B407" s="9" t="n">
        <v>15</v>
      </c>
      <c r="C407" s="9" t="n">
        <v>10</v>
      </c>
      <c r="D407" s="9" t="n">
        <v>3</v>
      </c>
      <c r="E407" s="10">
        <f>COMBIN(A407,D407)/COMBIN(A407-B407,D407)</f>
        <v/>
      </c>
      <c r="F407" s="11">
        <f>ROUNDUP(E407*Controls!$B$4,4)</f>
        <v/>
      </c>
      <c r="G407" s="12">
        <f>F407/E407</f>
        <v/>
      </c>
      <c r="H407" s="10">
        <f>(A407-B407-(D407-1))/(A407-(D407-1))</f>
        <v/>
      </c>
      <c r="I407" s="9">
        <f>A407&amp;'x'&amp;B407</f>
        <v/>
      </c>
      <c r="J407" s="9">
        <f>IF(AND(G407&gt;0.9,G407&lt;1),"OK","CHECK")</f>
        <v/>
      </c>
    </row>
    <row r="408">
      <c r="A408" s="9" t="n">
        <v>25</v>
      </c>
      <c r="B408" s="9" t="n">
        <v>15</v>
      </c>
      <c r="C408" s="9" t="n">
        <v>10</v>
      </c>
      <c r="D408" s="9" t="n">
        <v>4</v>
      </c>
      <c r="E408" s="10">
        <f>COMBIN(A408,D408)/COMBIN(A408-B408,D408)</f>
        <v/>
      </c>
      <c r="F408" s="11">
        <f>ROUNDUP(E408*Controls!$B$4,4)</f>
        <v/>
      </c>
      <c r="G408" s="12">
        <f>F408/E408</f>
        <v/>
      </c>
      <c r="H408" s="10">
        <f>(A408-B408-(D408-1))/(A408-(D408-1))</f>
        <v/>
      </c>
      <c r="I408" s="9">
        <f>A408&amp;'x'&amp;B408</f>
        <v/>
      </c>
      <c r="J408" s="9">
        <f>IF(AND(G408&gt;0.9,G408&lt;1),"OK","CHECK")</f>
        <v/>
      </c>
    </row>
    <row r="409">
      <c r="A409" s="9" t="n">
        <v>25</v>
      </c>
      <c r="B409" s="9" t="n">
        <v>15</v>
      </c>
      <c r="C409" s="9" t="n">
        <v>10</v>
      </c>
      <c r="D409" s="9" t="n">
        <v>5</v>
      </c>
      <c r="E409" s="10">
        <f>COMBIN(A409,D409)/COMBIN(A409-B409,D409)</f>
        <v/>
      </c>
      <c r="F409" s="11">
        <f>ROUNDUP(E409*Controls!$B$4,4)</f>
        <v/>
      </c>
      <c r="G409" s="12">
        <f>F409/E409</f>
        <v/>
      </c>
      <c r="H409" s="10">
        <f>(A409-B409-(D409-1))/(A409-(D409-1))</f>
        <v/>
      </c>
      <c r="I409" s="9">
        <f>A409&amp;'x'&amp;B409</f>
        <v/>
      </c>
      <c r="J409" s="9">
        <f>IF(AND(G409&gt;0.9,G409&lt;1),"OK","CHECK")</f>
        <v/>
      </c>
    </row>
    <row r="410">
      <c r="A410" s="9" t="n">
        <v>25</v>
      </c>
      <c r="B410" s="9" t="n">
        <v>15</v>
      </c>
      <c r="C410" s="9" t="n">
        <v>10</v>
      </c>
      <c r="D410" s="9" t="n">
        <v>6</v>
      </c>
      <c r="E410" s="10">
        <f>COMBIN(A410,D410)/COMBIN(A410-B410,D410)</f>
        <v/>
      </c>
      <c r="F410" s="11">
        <f>ROUNDUP(E410*Controls!$B$4,4)</f>
        <v/>
      </c>
      <c r="G410" s="12">
        <f>F410/E410</f>
        <v/>
      </c>
      <c r="H410" s="10">
        <f>(A410-B410-(D410-1))/(A410-(D410-1))</f>
        <v/>
      </c>
      <c r="I410" s="9">
        <f>A410&amp;'x'&amp;B410</f>
        <v/>
      </c>
      <c r="J410" s="9">
        <f>IF(AND(G410&gt;0.9,G410&lt;1),"OK","CHECK")</f>
        <v/>
      </c>
    </row>
    <row r="411">
      <c r="A411" s="9" t="n">
        <v>25</v>
      </c>
      <c r="B411" s="9" t="n">
        <v>15</v>
      </c>
      <c r="C411" s="9" t="n">
        <v>10</v>
      </c>
      <c r="D411" s="9" t="n">
        <v>7</v>
      </c>
      <c r="E411" s="10">
        <f>COMBIN(A411,D411)/COMBIN(A411-B411,D411)</f>
        <v/>
      </c>
      <c r="F411" s="11">
        <f>ROUNDUP(E411*Controls!$B$4,4)</f>
        <v/>
      </c>
      <c r="G411" s="12">
        <f>F411/E411</f>
        <v/>
      </c>
      <c r="H411" s="10">
        <f>(A411-B411-(D411-1))/(A411-(D411-1))</f>
        <v/>
      </c>
      <c r="I411" s="9">
        <f>A411&amp;'x'&amp;B411</f>
        <v/>
      </c>
      <c r="J411" s="9">
        <f>IF(AND(G411&gt;0.9,G411&lt;1),"OK","CHECK")</f>
        <v/>
      </c>
    </row>
    <row r="412">
      <c r="A412" s="9" t="n">
        <v>25</v>
      </c>
      <c r="B412" s="9" t="n">
        <v>15</v>
      </c>
      <c r="C412" s="9" t="n">
        <v>10</v>
      </c>
      <c r="D412" s="9" t="n">
        <v>8</v>
      </c>
      <c r="E412" s="10">
        <f>COMBIN(A412,D412)/COMBIN(A412-B412,D412)</f>
        <v/>
      </c>
      <c r="F412" s="11">
        <f>ROUNDUP(E412*Controls!$B$4,4)</f>
        <v/>
      </c>
      <c r="G412" s="12">
        <f>F412/E412</f>
        <v/>
      </c>
      <c r="H412" s="10">
        <f>(A412-B412-(D412-1))/(A412-(D412-1))</f>
        <v/>
      </c>
      <c r="I412" s="9">
        <f>A412&amp;'x'&amp;B412</f>
        <v/>
      </c>
      <c r="J412" s="9">
        <f>IF(AND(G412&gt;0.9,G412&lt;1),"OK","CHECK")</f>
        <v/>
      </c>
    </row>
    <row r="413">
      <c r="A413" s="9" t="n">
        <v>25</v>
      </c>
      <c r="B413" s="9" t="n">
        <v>15</v>
      </c>
      <c r="C413" s="9" t="n">
        <v>10</v>
      </c>
      <c r="D413" s="9" t="n">
        <v>9</v>
      </c>
      <c r="E413" s="10">
        <f>COMBIN(A413,D413)/COMBIN(A413-B413,D413)</f>
        <v/>
      </c>
      <c r="F413" s="11">
        <f>ROUNDUP(E413*Controls!$B$4,4)</f>
        <v/>
      </c>
      <c r="G413" s="12">
        <f>F413/E413</f>
        <v/>
      </c>
      <c r="H413" s="10">
        <f>(A413-B413-(D413-1))/(A413-(D413-1))</f>
        <v/>
      </c>
      <c r="I413" s="9">
        <f>A413&amp;'x'&amp;B413</f>
        <v/>
      </c>
      <c r="J413" s="9">
        <f>IF(AND(G413&gt;0.9,G413&lt;1),"OK","CHECK")</f>
        <v/>
      </c>
    </row>
    <row r="414">
      <c r="A414" s="9" t="n">
        <v>25</v>
      </c>
      <c r="B414" s="9" t="n">
        <v>15</v>
      </c>
      <c r="C414" s="9" t="n">
        <v>10</v>
      </c>
      <c r="D414" s="9" t="n">
        <v>10</v>
      </c>
      <c r="E414" s="10">
        <f>COMBIN(A414,D414)/COMBIN(A414-B414,D414)</f>
        <v/>
      </c>
      <c r="F414" s="11">
        <f>ROUNDUP(E414*Controls!$B$4,4)</f>
        <v/>
      </c>
      <c r="G414" s="12">
        <f>F414/E414</f>
        <v/>
      </c>
      <c r="H414" s="10">
        <f>(A414-B414-(D414-1))/(A414-(D414-1))</f>
        <v/>
      </c>
      <c r="I414" s="9">
        <f>A414&amp;'x'&amp;B414</f>
        <v/>
      </c>
      <c r="J414" s="9">
        <f>IF(AND(G414&gt;0.9,G414&lt;1),"OK","CHECK")</f>
        <v/>
      </c>
    </row>
    <row r="415">
      <c r="A415" s="9" t="n">
        <v>25</v>
      </c>
      <c r="B415" s="9" t="n">
        <v>16</v>
      </c>
      <c r="C415" s="9" t="n">
        <v>9</v>
      </c>
      <c r="D415" s="9" t="n">
        <v>1</v>
      </c>
      <c r="E415" s="10">
        <f>COMBIN(A415,D415)/COMBIN(A415-B415,D415)</f>
        <v/>
      </c>
      <c r="F415" s="11">
        <f>ROUNDUP(E415*Controls!$B$4,4)</f>
        <v/>
      </c>
      <c r="G415" s="12">
        <f>F415/E415</f>
        <v/>
      </c>
      <c r="H415" s="10">
        <f>(A415-B415-(D415-1))/(A415-(D415-1))</f>
        <v/>
      </c>
      <c r="I415" s="9">
        <f>A415&amp;'x'&amp;B415</f>
        <v/>
      </c>
      <c r="J415" s="9">
        <f>IF(AND(G415&gt;0.9,G415&lt;1),"OK","CHECK")</f>
        <v/>
      </c>
    </row>
    <row r="416">
      <c r="A416" s="9" t="n">
        <v>25</v>
      </c>
      <c r="B416" s="9" t="n">
        <v>16</v>
      </c>
      <c r="C416" s="9" t="n">
        <v>9</v>
      </c>
      <c r="D416" s="9" t="n">
        <v>2</v>
      </c>
      <c r="E416" s="10">
        <f>COMBIN(A416,D416)/COMBIN(A416-B416,D416)</f>
        <v/>
      </c>
      <c r="F416" s="11">
        <f>ROUNDUP(E416*Controls!$B$4,4)</f>
        <v/>
      </c>
      <c r="G416" s="12">
        <f>F416/E416</f>
        <v/>
      </c>
      <c r="H416" s="10">
        <f>(A416-B416-(D416-1))/(A416-(D416-1))</f>
        <v/>
      </c>
      <c r="I416" s="9">
        <f>A416&amp;'x'&amp;B416</f>
        <v/>
      </c>
      <c r="J416" s="9">
        <f>IF(AND(G416&gt;0.9,G416&lt;1),"OK","CHECK")</f>
        <v/>
      </c>
    </row>
    <row r="417">
      <c r="A417" s="9" t="n">
        <v>25</v>
      </c>
      <c r="B417" s="9" t="n">
        <v>16</v>
      </c>
      <c r="C417" s="9" t="n">
        <v>9</v>
      </c>
      <c r="D417" s="9" t="n">
        <v>3</v>
      </c>
      <c r="E417" s="10">
        <f>COMBIN(A417,D417)/COMBIN(A417-B417,D417)</f>
        <v/>
      </c>
      <c r="F417" s="11">
        <f>ROUNDUP(E417*Controls!$B$4,4)</f>
        <v/>
      </c>
      <c r="G417" s="12">
        <f>F417/E417</f>
        <v/>
      </c>
      <c r="H417" s="10">
        <f>(A417-B417-(D417-1))/(A417-(D417-1))</f>
        <v/>
      </c>
      <c r="I417" s="9">
        <f>A417&amp;'x'&amp;B417</f>
        <v/>
      </c>
      <c r="J417" s="9">
        <f>IF(AND(G417&gt;0.9,G417&lt;1),"OK","CHECK")</f>
        <v/>
      </c>
    </row>
    <row r="418">
      <c r="A418" s="9" t="n">
        <v>25</v>
      </c>
      <c r="B418" s="9" t="n">
        <v>16</v>
      </c>
      <c r="C418" s="9" t="n">
        <v>9</v>
      </c>
      <c r="D418" s="9" t="n">
        <v>4</v>
      </c>
      <c r="E418" s="10">
        <f>COMBIN(A418,D418)/COMBIN(A418-B418,D418)</f>
        <v/>
      </c>
      <c r="F418" s="11">
        <f>ROUNDUP(E418*Controls!$B$4,4)</f>
        <v/>
      </c>
      <c r="G418" s="12">
        <f>F418/E418</f>
        <v/>
      </c>
      <c r="H418" s="10">
        <f>(A418-B418-(D418-1))/(A418-(D418-1))</f>
        <v/>
      </c>
      <c r="I418" s="9">
        <f>A418&amp;'x'&amp;B418</f>
        <v/>
      </c>
      <c r="J418" s="9">
        <f>IF(AND(G418&gt;0.9,G418&lt;1),"OK","CHECK")</f>
        <v/>
      </c>
    </row>
    <row r="419">
      <c r="A419" s="9" t="n">
        <v>25</v>
      </c>
      <c r="B419" s="9" t="n">
        <v>16</v>
      </c>
      <c r="C419" s="9" t="n">
        <v>9</v>
      </c>
      <c r="D419" s="9" t="n">
        <v>5</v>
      </c>
      <c r="E419" s="10">
        <f>COMBIN(A419,D419)/COMBIN(A419-B419,D419)</f>
        <v/>
      </c>
      <c r="F419" s="11">
        <f>ROUNDUP(E419*Controls!$B$4,4)</f>
        <v/>
      </c>
      <c r="G419" s="12">
        <f>F419/E419</f>
        <v/>
      </c>
      <c r="H419" s="10">
        <f>(A419-B419-(D419-1))/(A419-(D419-1))</f>
        <v/>
      </c>
      <c r="I419" s="9">
        <f>A419&amp;'x'&amp;B419</f>
        <v/>
      </c>
      <c r="J419" s="9">
        <f>IF(AND(G419&gt;0.9,G419&lt;1),"OK","CHECK")</f>
        <v/>
      </c>
    </row>
    <row r="420">
      <c r="A420" s="9" t="n">
        <v>25</v>
      </c>
      <c r="B420" s="9" t="n">
        <v>16</v>
      </c>
      <c r="C420" s="9" t="n">
        <v>9</v>
      </c>
      <c r="D420" s="9" t="n">
        <v>6</v>
      </c>
      <c r="E420" s="10">
        <f>COMBIN(A420,D420)/COMBIN(A420-B420,D420)</f>
        <v/>
      </c>
      <c r="F420" s="11">
        <f>ROUNDUP(E420*Controls!$B$4,4)</f>
        <v/>
      </c>
      <c r="G420" s="12">
        <f>F420/E420</f>
        <v/>
      </c>
      <c r="H420" s="10">
        <f>(A420-B420-(D420-1))/(A420-(D420-1))</f>
        <v/>
      </c>
      <c r="I420" s="9">
        <f>A420&amp;'x'&amp;B420</f>
        <v/>
      </c>
      <c r="J420" s="9">
        <f>IF(AND(G420&gt;0.9,G420&lt;1),"OK","CHECK")</f>
        <v/>
      </c>
    </row>
    <row r="421">
      <c r="A421" s="9" t="n">
        <v>25</v>
      </c>
      <c r="B421" s="9" t="n">
        <v>16</v>
      </c>
      <c r="C421" s="9" t="n">
        <v>9</v>
      </c>
      <c r="D421" s="9" t="n">
        <v>7</v>
      </c>
      <c r="E421" s="10">
        <f>COMBIN(A421,D421)/COMBIN(A421-B421,D421)</f>
        <v/>
      </c>
      <c r="F421" s="11">
        <f>ROUNDUP(E421*Controls!$B$4,4)</f>
        <v/>
      </c>
      <c r="G421" s="12">
        <f>F421/E421</f>
        <v/>
      </c>
      <c r="H421" s="10">
        <f>(A421-B421-(D421-1))/(A421-(D421-1))</f>
        <v/>
      </c>
      <c r="I421" s="9">
        <f>A421&amp;'x'&amp;B421</f>
        <v/>
      </c>
      <c r="J421" s="9">
        <f>IF(AND(G421&gt;0.9,G421&lt;1),"OK","CHECK")</f>
        <v/>
      </c>
    </row>
    <row r="422">
      <c r="A422" s="9" t="n">
        <v>25</v>
      </c>
      <c r="B422" s="9" t="n">
        <v>16</v>
      </c>
      <c r="C422" s="9" t="n">
        <v>9</v>
      </c>
      <c r="D422" s="9" t="n">
        <v>8</v>
      </c>
      <c r="E422" s="10">
        <f>COMBIN(A422,D422)/COMBIN(A422-B422,D422)</f>
        <v/>
      </c>
      <c r="F422" s="11">
        <f>ROUNDUP(E422*Controls!$B$4,4)</f>
        <v/>
      </c>
      <c r="G422" s="12">
        <f>F422/E422</f>
        <v/>
      </c>
      <c r="H422" s="10">
        <f>(A422-B422-(D422-1))/(A422-(D422-1))</f>
        <v/>
      </c>
      <c r="I422" s="9">
        <f>A422&amp;'x'&amp;B422</f>
        <v/>
      </c>
      <c r="J422" s="9">
        <f>IF(AND(G422&gt;0.9,G422&lt;1),"OK","CHECK")</f>
        <v/>
      </c>
    </row>
    <row r="423">
      <c r="A423" s="9" t="n">
        <v>25</v>
      </c>
      <c r="B423" s="9" t="n">
        <v>16</v>
      </c>
      <c r="C423" s="9" t="n">
        <v>9</v>
      </c>
      <c r="D423" s="9" t="n">
        <v>9</v>
      </c>
      <c r="E423" s="10">
        <f>COMBIN(A423,D423)/COMBIN(A423-B423,D423)</f>
        <v/>
      </c>
      <c r="F423" s="11">
        <f>ROUNDUP(E423*Controls!$B$4,4)</f>
        <v/>
      </c>
      <c r="G423" s="12">
        <f>F423/E423</f>
        <v/>
      </c>
      <c r="H423" s="10">
        <f>(A423-B423-(D423-1))/(A423-(D423-1))</f>
        <v/>
      </c>
      <c r="I423" s="9">
        <f>A423&amp;'x'&amp;B423</f>
        <v/>
      </c>
      <c r="J423" s="9">
        <f>IF(AND(G423&gt;0.9,G423&lt;1),"OK","CHECK")</f>
        <v/>
      </c>
    </row>
    <row r="424">
      <c r="A424" s="9" t="n">
        <v>25</v>
      </c>
      <c r="B424" s="9" t="n">
        <v>17</v>
      </c>
      <c r="C424" s="9" t="n">
        <v>8</v>
      </c>
      <c r="D424" s="9" t="n">
        <v>1</v>
      </c>
      <c r="E424" s="10">
        <f>COMBIN(A424,D424)/COMBIN(A424-B424,D424)</f>
        <v/>
      </c>
      <c r="F424" s="11">
        <f>ROUNDUP(E424*Controls!$B$4,4)</f>
        <v/>
      </c>
      <c r="G424" s="12">
        <f>F424/E424</f>
        <v/>
      </c>
      <c r="H424" s="10">
        <f>(A424-B424-(D424-1))/(A424-(D424-1))</f>
        <v/>
      </c>
      <c r="I424" s="9">
        <f>A424&amp;'x'&amp;B424</f>
        <v/>
      </c>
      <c r="J424" s="9">
        <f>IF(AND(G424&gt;0.9,G424&lt;1),"OK","CHECK")</f>
        <v/>
      </c>
    </row>
    <row r="425">
      <c r="A425" s="9" t="n">
        <v>25</v>
      </c>
      <c r="B425" s="9" t="n">
        <v>17</v>
      </c>
      <c r="C425" s="9" t="n">
        <v>8</v>
      </c>
      <c r="D425" s="9" t="n">
        <v>2</v>
      </c>
      <c r="E425" s="10">
        <f>COMBIN(A425,D425)/COMBIN(A425-B425,D425)</f>
        <v/>
      </c>
      <c r="F425" s="11">
        <f>ROUNDUP(E425*Controls!$B$4,4)</f>
        <v/>
      </c>
      <c r="G425" s="12">
        <f>F425/E425</f>
        <v/>
      </c>
      <c r="H425" s="10">
        <f>(A425-B425-(D425-1))/(A425-(D425-1))</f>
        <v/>
      </c>
      <c r="I425" s="9">
        <f>A425&amp;'x'&amp;B425</f>
        <v/>
      </c>
      <c r="J425" s="9">
        <f>IF(AND(G425&gt;0.9,G425&lt;1),"OK","CHECK")</f>
        <v/>
      </c>
    </row>
    <row r="426">
      <c r="A426" s="9" t="n">
        <v>25</v>
      </c>
      <c r="B426" s="9" t="n">
        <v>17</v>
      </c>
      <c r="C426" s="9" t="n">
        <v>8</v>
      </c>
      <c r="D426" s="9" t="n">
        <v>3</v>
      </c>
      <c r="E426" s="10">
        <f>COMBIN(A426,D426)/COMBIN(A426-B426,D426)</f>
        <v/>
      </c>
      <c r="F426" s="11">
        <f>ROUNDUP(E426*Controls!$B$4,4)</f>
        <v/>
      </c>
      <c r="G426" s="12">
        <f>F426/E426</f>
        <v/>
      </c>
      <c r="H426" s="10">
        <f>(A426-B426-(D426-1))/(A426-(D426-1))</f>
        <v/>
      </c>
      <c r="I426" s="9">
        <f>A426&amp;'x'&amp;B426</f>
        <v/>
      </c>
      <c r="J426" s="9">
        <f>IF(AND(G426&gt;0.9,G426&lt;1),"OK","CHECK")</f>
        <v/>
      </c>
    </row>
    <row r="427">
      <c r="A427" s="9" t="n">
        <v>25</v>
      </c>
      <c r="B427" s="9" t="n">
        <v>17</v>
      </c>
      <c r="C427" s="9" t="n">
        <v>8</v>
      </c>
      <c r="D427" s="9" t="n">
        <v>4</v>
      </c>
      <c r="E427" s="10">
        <f>COMBIN(A427,D427)/COMBIN(A427-B427,D427)</f>
        <v/>
      </c>
      <c r="F427" s="11">
        <f>ROUNDUP(E427*Controls!$B$4,4)</f>
        <v/>
      </c>
      <c r="G427" s="12">
        <f>F427/E427</f>
        <v/>
      </c>
      <c r="H427" s="10">
        <f>(A427-B427-(D427-1))/(A427-(D427-1))</f>
        <v/>
      </c>
      <c r="I427" s="9">
        <f>A427&amp;'x'&amp;B427</f>
        <v/>
      </c>
      <c r="J427" s="9">
        <f>IF(AND(G427&gt;0.9,G427&lt;1),"OK","CHECK")</f>
        <v/>
      </c>
    </row>
    <row r="428">
      <c r="A428" s="9" t="n">
        <v>25</v>
      </c>
      <c r="B428" s="9" t="n">
        <v>17</v>
      </c>
      <c r="C428" s="9" t="n">
        <v>8</v>
      </c>
      <c r="D428" s="9" t="n">
        <v>5</v>
      </c>
      <c r="E428" s="10">
        <f>COMBIN(A428,D428)/COMBIN(A428-B428,D428)</f>
        <v/>
      </c>
      <c r="F428" s="11">
        <f>ROUNDUP(E428*Controls!$B$4,4)</f>
        <v/>
      </c>
      <c r="G428" s="12">
        <f>F428/E428</f>
        <v/>
      </c>
      <c r="H428" s="10">
        <f>(A428-B428-(D428-1))/(A428-(D428-1))</f>
        <v/>
      </c>
      <c r="I428" s="9">
        <f>A428&amp;'x'&amp;B428</f>
        <v/>
      </c>
      <c r="J428" s="9">
        <f>IF(AND(G428&gt;0.9,G428&lt;1),"OK","CHECK")</f>
        <v/>
      </c>
    </row>
    <row r="429">
      <c r="A429" s="9" t="n">
        <v>25</v>
      </c>
      <c r="B429" s="9" t="n">
        <v>17</v>
      </c>
      <c r="C429" s="9" t="n">
        <v>8</v>
      </c>
      <c r="D429" s="9" t="n">
        <v>6</v>
      </c>
      <c r="E429" s="10">
        <f>COMBIN(A429,D429)/COMBIN(A429-B429,D429)</f>
        <v/>
      </c>
      <c r="F429" s="11">
        <f>ROUNDUP(E429*Controls!$B$4,4)</f>
        <v/>
      </c>
      <c r="G429" s="12">
        <f>F429/E429</f>
        <v/>
      </c>
      <c r="H429" s="10">
        <f>(A429-B429-(D429-1))/(A429-(D429-1))</f>
        <v/>
      </c>
      <c r="I429" s="9">
        <f>A429&amp;'x'&amp;B429</f>
        <v/>
      </c>
      <c r="J429" s="9">
        <f>IF(AND(G429&gt;0.9,G429&lt;1),"OK","CHECK")</f>
        <v/>
      </c>
    </row>
    <row r="430">
      <c r="A430" s="9" t="n">
        <v>25</v>
      </c>
      <c r="B430" s="9" t="n">
        <v>17</v>
      </c>
      <c r="C430" s="9" t="n">
        <v>8</v>
      </c>
      <c r="D430" s="9" t="n">
        <v>7</v>
      </c>
      <c r="E430" s="10">
        <f>COMBIN(A430,D430)/COMBIN(A430-B430,D430)</f>
        <v/>
      </c>
      <c r="F430" s="11">
        <f>ROUNDUP(E430*Controls!$B$4,4)</f>
        <v/>
      </c>
      <c r="G430" s="12">
        <f>F430/E430</f>
        <v/>
      </c>
      <c r="H430" s="10">
        <f>(A430-B430-(D430-1))/(A430-(D430-1))</f>
        <v/>
      </c>
      <c r="I430" s="9">
        <f>A430&amp;'x'&amp;B430</f>
        <v/>
      </c>
      <c r="J430" s="9">
        <f>IF(AND(G430&gt;0.9,G430&lt;1),"OK","CHECK")</f>
        <v/>
      </c>
    </row>
    <row r="431">
      <c r="A431" s="9" t="n">
        <v>25</v>
      </c>
      <c r="B431" s="9" t="n">
        <v>17</v>
      </c>
      <c r="C431" s="9" t="n">
        <v>8</v>
      </c>
      <c r="D431" s="9" t="n">
        <v>8</v>
      </c>
      <c r="E431" s="10">
        <f>COMBIN(A431,D431)/COMBIN(A431-B431,D431)</f>
        <v/>
      </c>
      <c r="F431" s="11">
        <f>ROUNDUP(E431*Controls!$B$4,4)</f>
        <v/>
      </c>
      <c r="G431" s="12">
        <f>F431/E431</f>
        <v/>
      </c>
      <c r="H431" s="10">
        <f>(A431-B431-(D431-1))/(A431-(D431-1))</f>
        <v/>
      </c>
      <c r="I431" s="9">
        <f>A431&amp;'x'&amp;B431</f>
        <v/>
      </c>
      <c r="J431" s="9">
        <f>IF(AND(G431&gt;0.9,G431&lt;1),"OK","CHECK")</f>
        <v/>
      </c>
    </row>
    <row r="432">
      <c r="A432" s="9" t="n">
        <v>25</v>
      </c>
      <c r="B432" s="9" t="n">
        <v>18</v>
      </c>
      <c r="C432" s="9" t="n">
        <v>7</v>
      </c>
      <c r="D432" s="9" t="n">
        <v>1</v>
      </c>
      <c r="E432" s="10">
        <f>COMBIN(A432,D432)/COMBIN(A432-B432,D432)</f>
        <v/>
      </c>
      <c r="F432" s="11">
        <f>ROUNDUP(E432*Controls!$B$4,4)</f>
        <v/>
      </c>
      <c r="G432" s="12">
        <f>F432/E432</f>
        <v/>
      </c>
      <c r="H432" s="10">
        <f>(A432-B432-(D432-1))/(A432-(D432-1))</f>
        <v/>
      </c>
      <c r="I432" s="9">
        <f>A432&amp;'x'&amp;B432</f>
        <v/>
      </c>
      <c r="J432" s="9">
        <f>IF(AND(G432&gt;0.9,G432&lt;1),"OK","CHECK")</f>
        <v/>
      </c>
    </row>
    <row r="433">
      <c r="A433" s="9" t="n">
        <v>25</v>
      </c>
      <c r="B433" s="9" t="n">
        <v>18</v>
      </c>
      <c r="C433" s="9" t="n">
        <v>7</v>
      </c>
      <c r="D433" s="9" t="n">
        <v>2</v>
      </c>
      <c r="E433" s="10">
        <f>COMBIN(A433,D433)/COMBIN(A433-B433,D433)</f>
        <v/>
      </c>
      <c r="F433" s="11">
        <f>ROUNDUP(E433*Controls!$B$4,4)</f>
        <v/>
      </c>
      <c r="G433" s="12">
        <f>F433/E433</f>
        <v/>
      </c>
      <c r="H433" s="10">
        <f>(A433-B433-(D433-1))/(A433-(D433-1))</f>
        <v/>
      </c>
      <c r="I433" s="9">
        <f>A433&amp;'x'&amp;B433</f>
        <v/>
      </c>
      <c r="J433" s="9">
        <f>IF(AND(G433&gt;0.9,G433&lt;1),"OK","CHECK")</f>
        <v/>
      </c>
    </row>
    <row r="434">
      <c r="A434" s="9" t="n">
        <v>25</v>
      </c>
      <c r="B434" s="9" t="n">
        <v>18</v>
      </c>
      <c r="C434" s="9" t="n">
        <v>7</v>
      </c>
      <c r="D434" s="9" t="n">
        <v>3</v>
      </c>
      <c r="E434" s="10">
        <f>COMBIN(A434,D434)/COMBIN(A434-B434,D434)</f>
        <v/>
      </c>
      <c r="F434" s="11">
        <f>ROUNDUP(E434*Controls!$B$4,4)</f>
        <v/>
      </c>
      <c r="G434" s="12">
        <f>F434/E434</f>
        <v/>
      </c>
      <c r="H434" s="10">
        <f>(A434-B434-(D434-1))/(A434-(D434-1))</f>
        <v/>
      </c>
      <c r="I434" s="9">
        <f>A434&amp;'x'&amp;B434</f>
        <v/>
      </c>
      <c r="J434" s="9">
        <f>IF(AND(G434&gt;0.9,G434&lt;1),"OK","CHECK")</f>
        <v/>
      </c>
    </row>
    <row r="435">
      <c r="A435" s="9" t="n">
        <v>25</v>
      </c>
      <c r="B435" s="9" t="n">
        <v>18</v>
      </c>
      <c r="C435" s="9" t="n">
        <v>7</v>
      </c>
      <c r="D435" s="9" t="n">
        <v>4</v>
      </c>
      <c r="E435" s="10">
        <f>COMBIN(A435,D435)/COMBIN(A435-B435,D435)</f>
        <v/>
      </c>
      <c r="F435" s="11">
        <f>ROUNDUP(E435*Controls!$B$4,4)</f>
        <v/>
      </c>
      <c r="G435" s="12">
        <f>F435/E435</f>
        <v/>
      </c>
      <c r="H435" s="10">
        <f>(A435-B435-(D435-1))/(A435-(D435-1))</f>
        <v/>
      </c>
      <c r="I435" s="9">
        <f>A435&amp;'x'&amp;B435</f>
        <v/>
      </c>
      <c r="J435" s="9">
        <f>IF(AND(G435&gt;0.9,G435&lt;1),"OK","CHECK")</f>
        <v/>
      </c>
    </row>
    <row r="436">
      <c r="A436" s="9" t="n">
        <v>25</v>
      </c>
      <c r="B436" s="9" t="n">
        <v>18</v>
      </c>
      <c r="C436" s="9" t="n">
        <v>7</v>
      </c>
      <c r="D436" s="9" t="n">
        <v>5</v>
      </c>
      <c r="E436" s="10">
        <f>COMBIN(A436,D436)/COMBIN(A436-B436,D436)</f>
        <v/>
      </c>
      <c r="F436" s="11">
        <f>ROUNDUP(E436*Controls!$B$4,4)</f>
        <v/>
      </c>
      <c r="G436" s="12">
        <f>F436/E436</f>
        <v/>
      </c>
      <c r="H436" s="10">
        <f>(A436-B436-(D436-1))/(A436-(D436-1))</f>
        <v/>
      </c>
      <c r="I436" s="9">
        <f>A436&amp;'x'&amp;B436</f>
        <v/>
      </c>
      <c r="J436" s="9">
        <f>IF(AND(G436&gt;0.9,G436&lt;1),"OK","CHECK")</f>
        <v/>
      </c>
    </row>
    <row r="437">
      <c r="A437" s="9" t="n">
        <v>25</v>
      </c>
      <c r="B437" s="9" t="n">
        <v>18</v>
      </c>
      <c r="C437" s="9" t="n">
        <v>7</v>
      </c>
      <c r="D437" s="9" t="n">
        <v>6</v>
      </c>
      <c r="E437" s="10">
        <f>COMBIN(A437,D437)/COMBIN(A437-B437,D437)</f>
        <v/>
      </c>
      <c r="F437" s="11">
        <f>ROUNDUP(E437*Controls!$B$4,4)</f>
        <v/>
      </c>
      <c r="G437" s="12">
        <f>F437/E437</f>
        <v/>
      </c>
      <c r="H437" s="10">
        <f>(A437-B437-(D437-1))/(A437-(D437-1))</f>
        <v/>
      </c>
      <c r="I437" s="9">
        <f>A437&amp;'x'&amp;B437</f>
        <v/>
      </c>
      <c r="J437" s="9">
        <f>IF(AND(G437&gt;0.9,G437&lt;1),"OK","CHECK")</f>
        <v/>
      </c>
    </row>
    <row r="438">
      <c r="A438" s="9" t="n">
        <v>25</v>
      </c>
      <c r="B438" s="9" t="n">
        <v>18</v>
      </c>
      <c r="C438" s="9" t="n">
        <v>7</v>
      </c>
      <c r="D438" s="9" t="n">
        <v>7</v>
      </c>
      <c r="E438" s="10">
        <f>COMBIN(A438,D438)/COMBIN(A438-B438,D438)</f>
        <v/>
      </c>
      <c r="F438" s="11">
        <f>ROUNDUP(E438*Controls!$B$4,4)</f>
        <v/>
      </c>
      <c r="G438" s="12">
        <f>F438/E438</f>
        <v/>
      </c>
      <c r="H438" s="10">
        <f>(A438-B438-(D438-1))/(A438-(D438-1))</f>
        <v/>
      </c>
      <c r="I438" s="9">
        <f>A438&amp;'x'&amp;B438</f>
        <v/>
      </c>
      <c r="J438" s="9">
        <f>IF(AND(G438&gt;0.9,G438&lt;1),"OK","CHECK")</f>
        <v/>
      </c>
    </row>
    <row r="439">
      <c r="A439" s="9" t="n">
        <v>25</v>
      </c>
      <c r="B439" s="9" t="n">
        <v>19</v>
      </c>
      <c r="C439" s="9" t="n">
        <v>6</v>
      </c>
      <c r="D439" s="9" t="n">
        <v>1</v>
      </c>
      <c r="E439" s="10">
        <f>COMBIN(A439,D439)/COMBIN(A439-B439,D439)</f>
        <v/>
      </c>
      <c r="F439" s="11">
        <f>ROUNDUP(E439*Controls!$B$4,4)</f>
        <v/>
      </c>
      <c r="G439" s="12">
        <f>F439/E439</f>
        <v/>
      </c>
      <c r="H439" s="10">
        <f>(A439-B439-(D439-1))/(A439-(D439-1))</f>
        <v/>
      </c>
      <c r="I439" s="9">
        <f>A439&amp;'x'&amp;B439</f>
        <v/>
      </c>
      <c r="J439" s="9">
        <f>IF(AND(G439&gt;0.9,G439&lt;1),"OK","CHECK")</f>
        <v/>
      </c>
    </row>
    <row r="440">
      <c r="A440" s="9" t="n">
        <v>25</v>
      </c>
      <c r="B440" s="9" t="n">
        <v>19</v>
      </c>
      <c r="C440" s="9" t="n">
        <v>6</v>
      </c>
      <c r="D440" s="9" t="n">
        <v>2</v>
      </c>
      <c r="E440" s="10">
        <f>COMBIN(A440,D440)/COMBIN(A440-B440,D440)</f>
        <v/>
      </c>
      <c r="F440" s="11">
        <f>ROUNDUP(E440*Controls!$B$4,4)</f>
        <v/>
      </c>
      <c r="G440" s="12">
        <f>F440/E440</f>
        <v/>
      </c>
      <c r="H440" s="10">
        <f>(A440-B440-(D440-1))/(A440-(D440-1))</f>
        <v/>
      </c>
      <c r="I440" s="9">
        <f>A440&amp;'x'&amp;B440</f>
        <v/>
      </c>
      <c r="J440" s="9">
        <f>IF(AND(G440&gt;0.9,G440&lt;1),"OK","CHECK")</f>
        <v/>
      </c>
    </row>
    <row r="441">
      <c r="A441" s="9" t="n">
        <v>25</v>
      </c>
      <c r="B441" s="9" t="n">
        <v>19</v>
      </c>
      <c r="C441" s="9" t="n">
        <v>6</v>
      </c>
      <c r="D441" s="9" t="n">
        <v>3</v>
      </c>
      <c r="E441" s="10">
        <f>COMBIN(A441,D441)/COMBIN(A441-B441,D441)</f>
        <v/>
      </c>
      <c r="F441" s="11">
        <f>ROUNDUP(E441*Controls!$B$4,4)</f>
        <v/>
      </c>
      <c r="G441" s="12">
        <f>F441/E441</f>
        <v/>
      </c>
      <c r="H441" s="10">
        <f>(A441-B441-(D441-1))/(A441-(D441-1))</f>
        <v/>
      </c>
      <c r="I441" s="9">
        <f>A441&amp;'x'&amp;B441</f>
        <v/>
      </c>
      <c r="J441" s="9">
        <f>IF(AND(G441&gt;0.9,G441&lt;1),"OK","CHECK")</f>
        <v/>
      </c>
    </row>
    <row r="442">
      <c r="A442" s="9" t="n">
        <v>25</v>
      </c>
      <c r="B442" s="9" t="n">
        <v>19</v>
      </c>
      <c r="C442" s="9" t="n">
        <v>6</v>
      </c>
      <c r="D442" s="9" t="n">
        <v>4</v>
      </c>
      <c r="E442" s="10">
        <f>COMBIN(A442,D442)/COMBIN(A442-B442,D442)</f>
        <v/>
      </c>
      <c r="F442" s="11">
        <f>ROUNDUP(E442*Controls!$B$4,4)</f>
        <v/>
      </c>
      <c r="G442" s="12">
        <f>F442/E442</f>
        <v/>
      </c>
      <c r="H442" s="10">
        <f>(A442-B442-(D442-1))/(A442-(D442-1))</f>
        <v/>
      </c>
      <c r="I442" s="9">
        <f>A442&amp;'x'&amp;B442</f>
        <v/>
      </c>
      <c r="J442" s="9">
        <f>IF(AND(G442&gt;0.9,G442&lt;1),"OK","CHECK")</f>
        <v/>
      </c>
    </row>
    <row r="443">
      <c r="A443" s="9" t="n">
        <v>25</v>
      </c>
      <c r="B443" s="9" t="n">
        <v>19</v>
      </c>
      <c r="C443" s="9" t="n">
        <v>6</v>
      </c>
      <c r="D443" s="9" t="n">
        <v>5</v>
      </c>
      <c r="E443" s="10">
        <f>COMBIN(A443,D443)/COMBIN(A443-B443,D443)</f>
        <v/>
      </c>
      <c r="F443" s="11">
        <f>ROUNDUP(E443*Controls!$B$4,4)</f>
        <v/>
      </c>
      <c r="G443" s="12">
        <f>F443/E443</f>
        <v/>
      </c>
      <c r="H443" s="10">
        <f>(A443-B443-(D443-1))/(A443-(D443-1))</f>
        <v/>
      </c>
      <c r="I443" s="9">
        <f>A443&amp;'x'&amp;B443</f>
        <v/>
      </c>
      <c r="J443" s="9">
        <f>IF(AND(G443&gt;0.9,G443&lt;1),"OK","CHECK")</f>
        <v/>
      </c>
    </row>
    <row r="444">
      <c r="A444" s="9" t="n">
        <v>25</v>
      </c>
      <c r="B444" s="9" t="n">
        <v>19</v>
      </c>
      <c r="C444" s="9" t="n">
        <v>6</v>
      </c>
      <c r="D444" s="9" t="n">
        <v>6</v>
      </c>
      <c r="E444" s="10">
        <f>COMBIN(A444,D444)/COMBIN(A444-B444,D444)</f>
        <v/>
      </c>
      <c r="F444" s="11">
        <f>ROUNDUP(E444*Controls!$B$4,4)</f>
        <v/>
      </c>
      <c r="G444" s="12">
        <f>F444/E444</f>
        <v/>
      </c>
      <c r="H444" s="10">
        <f>(A444-B444-(D444-1))/(A444-(D444-1))</f>
        <v/>
      </c>
      <c r="I444" s="9">
        <f>A444&amp;'x'&amp;B444</f>
        <v/>
      </c>
      <c r="J444" s="9">
        <f>IF(AND(G444&gt;0.9,G444&lt;1),"OK","CHECK")</f>
        <v/>
      </c>
    </row>
    <row r="445">
      <c r="A445" s="9" t="n">
        <v>25</v>
      </c>
      <c r="B445" s="9" t="n">
        <v>20</v>
      </c>
      <c r="C445" s="9" t="n">
        <v>5</v>
      </c>
      <c r="D445" s="9" t="n">
        <v>1</v>
      </c>
      <c r="E445" s="10">
        <f>COMBIN(A445,D445)/COMBIN(A445-B445,D445)</f>
        <v/>
      </c>
      <c r="F445" s="11">
        <f>ROUNDUP(E445*Controls!$B$4,4)</f>
        <v/>
      </c>
      <c r="G445" s="12">
        <f>F445/E445</f>
        <v/>
      </c>
      <c r="H445" s="10">
        <f>(A445-B445-(D445-1))/(A445-(D445-1))</f>
        <v/>
      </c>
      <c r="I445" s="9">
        <f>A445&amp;'x'&amp;B445</f>
        <v/>
      </c>
      <c r="J445" s="9">
        <f>IF(AND(G445&gt;0.9,G445&lt;1),"OK","CHECK")</f>
        <v/>
      </c>
    </row>
    <row r="446">
      <c r="A446" s="9" t="n">
        <v>25</v>
      </c>
      <c r="B446" s="9" t="n">
        <v>20</v>
      </c>
      <c r="C446" s="9" t="n">
        <v>5</v>
      </c>
      <c r="D446" s="9" t="n">
        <v>2</v>
      </c>
      <c r="E446" s="10">
        <f>COMBIN(A446,D446)/COMBIN(A446-B446,D446)</f>
        <v/>
      </c>
      <c r="F446" s="11">
        <f>ROUNDUP(E446*Controls!$B$4,4)</f>
        <v/>
      </c>
      <c r="G446" s="12">
        <f>F446/E446</f>
        <v/>
      </c>
      <c r="H446" s="10">
        <f>(A446-B446-(D446-1))/(A446-(D446-1))</f>
        <v/>
      </c>
      <c r="I446" s="9">
        <f>A446&amp;'x'&amp;B446</f>
        <v/>
      </c>
      <c r="J446" s="9">
        <f>IF(AND(G446&gt;0.9,G446&lt;1),"OK","CHECK")</f>
        <v/>
      </c>
    </row>
    <row r="447">
      <c r="A447" s="9" t="n">
        <v>25</v>
      </c>
      <c r="B447" s="9" t="n">
        <v>20</v>
      </c>
      <c r="C447" s="9" t="n">
        <v>5</v>
      </c>
      <c r="D447" s="9" t="n">
        <v>3</v>
      </c>
      <c r="E447" s="10">
        <f>COMBIN(A447,D447)/COMBIN(A447-B447,D447)</f>
        <v/>
      </c>
      <c r="F447" s="11">
        <f>ROUNDUP(E447*Controls!$B$4,4)</f>
        <v/>
      </c>
      <c r="G447" s="12">
        <f>F447/E447</f>
        <v/>
      </c>
      <c r="H447" s="10">
        <f>(A447-B447-(D447-1))/(A447-(D447-1))</f>
        <v/>
      </c>
      <c r="I447" s="9">
        <f>A447&amp;'x'&amp;B447</f>
        <v/>
      </c>
      <c r="J447" s="9">
        <f>IF(AND(G447&gt;0.9,G447&lt;1),"OK","CHECK")</f>
        <v/>
      </c>
    </row>
    <row r="448">
      <c r="A448" s="9" t="n">
        <v>25</v>
      </c>
      <c r="B448" s="9" t="n">
        <v>20</v>
      </c>
      <c r="C448" s="9" t="n">
        <v>5</v>
      </c>
      <c r="D448" s="9" t="n">
        <v>4</v>
      </c>
      <c r="E448" s="10">
        <f>COMBIN(A448,D448)/COMBIN(A448-B448,D448)</f>
        <v/>
      </c>
      <c r="F448" s="11">
        <f>ROUNDUP(E448*Controls!$B$4,4)</f>
        <v/>
      </c>
      <c r="G448" s="12">
        <f>F448/E448</f>
        <v/>
      </c>
      <c r="H448" s="10">
        <f>(A448-B448-(D448-1))/(A448-(D448-1))</f>
        <v/>
      </c>
      <c r="I448" s="9">
        <f>A448&amp;'x'&amp;B448</f>
        <v/>
      </c>
      <c r="J448" s="9">
        <f>IF(AND(G448&gt;0.9,G448&lt;1),"OK","CHECK")</f>
        <v/>
      </c>
    </row>
    <row r="449">
      <c r="A449" s="9" t="n">
        <v>25</v>
      </c>
      <c r="B449" s="9" t="n">
        <v>20</v>
      </c>
      <c r="C449" s="9" t="n">
        <v>5</v>
      </c>
      <c r="D449" s="9" t="n">
        <v>5</v>
      </c>
      <c r="E449" s="10">
        <f>COMBIN(A449,D449)/COMBIN(A449-B449,D449)</f>
        <v/>
      </c>
      <c r="F449" s="11">
        <f>ROUNDUP(E449*Controls!$B$4,4)</f>
        <v/>
      </c>
      <c r="G449" s="12">
        <f>F449/E449</f>
        <v/>
      </c>
      <c r="H449" s="10">
        <f>(A449-B449-(D449-1))/(A449-(D449-1))</f>
        <v/>
      </c>
      <c r="I449" s="9">
        <f>A449&amp;'x'&amp;B449</f>
        <v/>
      </c>
      <c r="J449" s="9">
        <f>IF(AND(G449&gt;0.9,G449&lt;1),"OK","CHECK")</f>
        <v/>
      </c>
    </row>
    <row r="450">
      <c r="A450" s="9" t="n">
        <v>25</v>
      </c>
      <c r="B450" s="9" t="n">
        <v>21</v>
      </c>
      <c r="C450" s="9" t="n">
        <v>4</v>
      </c>
      <c r="D450" s="9" t="n">
        <v>1</v>
      </c>
      <c r="E450" s="10">
        <f>COMBIN(A450,D450)/COMBIN(A450-B450,D450)</f>
        <v/>
      </c>
      <c r="F450" s="11">
        <f>ROUNDUP(E450*Controls!$B$4,4)</f>
        <v/>
      </c>
      <c r="G450" s="12">
        <f>F450/E450</f>
        <v/>
      </c>
      <c r="H450" s="10">
        <f>(A450-B450-(D450-1))/(A450-(D450-1))</f>
        <v/>
      </c>
      <c r="I450" s="9">
        <f>A450&amp;'x'&amp;B450</f>
        <v/>
      </c>
      <c r="J450" s="9">
        <f>IF(AND(G450&gt;0.9,G450&lt;1),"OK","CHECK")</f>
        <v/>
      </c>
    </row>
    <row r="451">
      <c r="A451" s="9" t="n">
        <v>25</v>
      </c>
      <c r="B451" s="9" t="n">
        <v>21</v>
      </c>
      <c r="C451" s="9" t="n">
        <v>4</v>
      </c>
      <c r="D451" s="9" t="n">
        <v>2</v>
      </c>
      <c r="E451" s="10">
        <f>COMBIN(A451,D451)/COMBIN(A451-B451,D451)</f>
        <v/>
      </c>
      <c r="F451" s="11">
        <f>ROUNDUP(E451*Controls!$B$4,4)</f>
        <v/>
      </c>
      <c r="G451" s="12">
        <f>F451/E451</f>
        <v/>
      </c>
      <c r="H451" s="10">
        <f>(A451-B451-(D451-1))/(A451-(D451-1))</f>
        <v/>
      </c>
      <c r="I451" s="9">
        <f>A451&amp;'x'&amp;B451</f>
        <v/>
      </c>
      <c r="J451" s="9">
        <f>IF(AND(G451&gt;0.9,G451&lt;1),"OK","CHECK")</f>
        <v/>
      </c>
    </row>
    <row r="452">
      <c r="A452" s="9" t="n">
        <v>25</v>
      </c>
      <c r="B452" s="9" t="n">
        <v>21</v>
      </c>
      <c r="C452" s="9" t="n">
        <v>4</v>
      </c>
      <c r="D452" s="9" t="n">
        <v>3</v>
      </c>
      <c r="E452" s="10">
        <f>COMBIN(A452,D452)/COMBIN(A452-B452,D452)</f>
        <v/>
      </c>
      <c r="F452" s="11">
        <f>ROUNDUP(E452*Controls!$B$4,4)</f>
        <v/>
      </c>
      <c r="G452" s="12">
        <f>F452/E452</f>
        <v/>
      </c>
      <c r="H452" s="10">
        <f>(A452-B452-(D452-1))/(A452-(D452-1))</f>
        <v/>
      </c>
      <c r="I452" s="9">
        <f>A452&amp;'x'&amp;B452</f>
        <v/>
      </c>
      <c r="J452" s="9">
        <f>IF(AND(G452&gt;0.9,G452&lt;1),"OK","CHECK")</f>
        <v/>
      </c>
    </row>
    <row r="453">
      <c r="A453" s="9" t="n">
        <v>25</v>
      </c>
      <c r="B453" s="9" t="n">
        <v>21</v>
      </c>
      <c r="C453" s="9" t="n">
        <v>4</v>
      </c>
      <c r="D453" s="9" t="n">
        <v>4</v>
      </c>
      <c r="E453" s="10">
        <f>COMBIN(A453,D453)/COMBIN(A453-B453,D453)</f>
        <v/>
      </c>
      <c r="F453" s="11">
        <f>ROUNDUP(E453*Controls!$B$4,4)</f>
        <v/>
      </c>
      <c r="G453" s="12">
        <f>F453/E453</f>
        <v/>
      </c>
      <c r="H453" s="10">
        <f>(A453-B453-(D453-1))/(A453-(D453-1))</f>
        <v/>
      </c>
      <c r="I453" s="9">
        <f>A453&amp;'x'&amp;B453</f>
        <v/>
      </c>
      <c r="J453" s="9">
        <f>IF(AND(G453&gt;0.9,G453&lt;1),"OK","CHECK")</f>
        <v/>
      </c>
    </row>
    <row r="454">
      <c r="A454" s="9" t="n">
        <v>25</v>
      </c>
      <c r="B454" s="9" t="n">
        <v>22</v>
      </c>
      <c r="C454" s="9" t="n">
        <v>3</v>
      </c>
      <c r="D454" s="9" t="n">
        <v>1</v>
      </c>
      <c r="E454" s="10">
        <f>COMBIN(A454,D454)/COMBIN(A454-B454,D454)</f>
        <v/>
      </c>
      <c r="F454" s="11">
        <f>ROUNDUP(E454*Controls!$B$4,4)</f>
        <v/>
      </c>
      <c r="G454" s="12">
        <f>F454/E454</f>
        <v/>
      </c>
      <c r="H454" s="10">
        <f>(A454-B454-(D454-1))/(A454-(D454-1))</f>
        <v/>
      </c>
      <c r="I454" s="9">
        <f>A454&amp;'x'&amp;B454</f>
        <v/>
      </c>
      <c r="J454" s="9">
        <f>IF(AND(G454&gt;0.9,G454&lt;1),"OK","CHECK")</f>
        <v/>
      </c>
    </row>
    <row r="455">
      <c r="A455" s="9" t="n">
        <v>25</v>
      </c>
      <c r="B455" s="9" t="n">
        <v>22</v>
      </c>
      <c r="C455" s="9" t="n">
        <v>3</v>
      </c>
      <c r="D455" s="9" t="n">
        <v>2</v>
      </c>
      <c r="E455" s="10">
        <f>COMBIN(A455,D455)/COMBIN(A455-B455,D455)</f>
        <v/>
      </c>
      <c r="F455" s="11">
        <f>ROUNDUP(E455*Controls!$B$4,4)</f>
        <v/>
      </c>
      <c r="G455" s="12">
        <f>F455/E455</f>
        <v/>
      </c>
      <c r="H455" s="10">
        <f>(A455-B455-(D455-1))/(A455-(D455-1))</f>
        <v/>
      </c>
      <c r="I455" s="9">
        <f>A455&amp;'x'&amp;B455</f>
        <v/>
      </c>
      <c r="J455" s="9">
        <f>IF(AND(G455&gt;0.9,G455&lt;1),"OK","CHECK")</f>
        <v/>
      </c>
    </row>
    <row r="456">
      <c r="A456" s="9" t="n">
        <v>25</v>
      </c>
      <c r="B456" s="9" t="n">
        <v>22</v>
      </c>
      <c r="C456" s="9" t="n">
        <v>3</v>
      </c>
      <c r="D456" s="9" t="n">
        <v>3</v>
      </c>
      <c r="E456" s="10">
        <f>COMBIN(A456,D456)/COMBIN(A456-B456,D456)</f>
        <v/>
      </c>
      <c r="F456" s="11">
        <f>ROUNDUP(E456*Controls!$B$4,4)</f>
        <v/>
      </c>
      <c r="G456" s="12">
        <f>F456/E456</f>
        <v/>
      </c>
      <c r="H456" s="10">
        <f>(A456-B456-(D456-1))/(A456-(D456-1))</f>
        <v/>
      </c>
      <c r="I456" s="9">
        <f>A456&amp;'x'&amp;B456</f>
        <v/>
      </c>
      <c r="J456" s="9">
        <f>IF(AND(G456&gt;0.9,G456&lt;1),"OK","CHECK")</f>
        <v/>
      </c>
    </row>
    <row r="457">
      <c r="A457" s="9" t="n">
        <v>25</v>
      </c>
      <c r="B457" s="9" t="n">
        <v>23</v>
      </c>
      <c r="C457" s="9" t="n">
        <v>2</v>
      </c>
      <c r="D457" s="9" t="n">
        <v>1</v>
      </c>
      <c r="E457" s="10">
        <f>COMBIN(A457,D457)/COMBIN(A457-B457,D457)</f>
        <v/>
      </c>
      <c r="F457" s="11">
        <f>ROUNDUP(E457*Controls!$B$4,4)</f>
        <v/>
      </c>
      <c r="G457" s="12">
        <f>F457/E457</f>
        <v/>
      </c>
      <c r="H457" s="10">
        <f>(A457-B457-(D457-1))/(A457-(D457-1))</f>
        <v/>
      </c>
      <c r="I457" s="9">
        <f>A457&amp;'x'&amp;B457</f>
        <v/>
      </c>
      <c r="J457" s="9">
        <f>IF(AND(G457&gt;0.9,G457&lt;1),"OK","CHECK")</f>
        <v/>
      </c>
    </row>
    <row r="458">
      <c r="A458" s="9" t="n">
        <v>25</v>
      </c>
      <c r="B458" s="9" t="n">
        <v>23</v>
      </c>
      <c r="C458" s="9" t="n">
        <v>2</v>
      </c>
      <c r="D458" s="9" t="n">
        <v>2</v>
      </c>
      <c r="E458" s="10">
        <f>COMBIN(A458,D458)/COMBIN(A458-B458,D458)</f>
        <v/>
      </c>
      <c r="F458" s="11">
        <f>ROUNDUP(E458*Controls!$B$4,4)</f>
        <v/>
      </c>
      <c r="G458" s="12">
        <f>F458/E458</f>
        <v/>
      </c>
      <c r="H458" s="10">
        <f>(A458-B458-(D458-1))/(A458-(D458-1))</f>
        <v/>
      </c>
      <c r="I458" s="9">
        <f>A458&amp;'x'&amp;B458</f>
        <v/>
      </c>
      <c r="J458" s="9">
        <f>IF(AND(G458&gt;0.9,G458&lt;1),"OK","CHECK")</f>
        <v/>
      </c>
    </row>
    <row r="459">
      <c r="A459" s="9" t="n">
        <v>25</v>
      </c>
      <c r="B459" s="9" t="n">
        <v>24</v>
      </c>
      <c r="C459" s="9" t="n">
        <v>1</v>
      </c>
      <c r="D459" s="9" t="n">
        <v>1</v>
      </c>
      <c r="E459" s="10">
        <f>COMBIN(A459,D459)/COMBIN(A459-B459,D459)</f>
        <v/>
      </c>
      <c r="F459" s="11">
        <f>ROUNDUP(E459*Controls!$B$4,4)</f>
        <v/>
      </c>
      <c r="G459" s="12">
        <f>F459/E459</f>
        <v/>
      </c>
      <c r="H459" s="10">
        <f>(A459-B459-(D459-1))/(A459-(D459-1))</f>
        <v/>
      </c>
      <c r="I459" s="9">
        <f>A459&amp;'x'&amp;B459</f>
        <v/>
      </c>
      <c r="J459" s="9">
        <f>IF(AND(G459&gt;0.9,G459&lt;1),"OK","CHECK")</f>
        <v/>
      </c>
    </row>
    <row r="460">
      <c r="A460" s="9" t="n">
        <v>36</v>
      </c>
      <c r="B460" s="9" t="n">
        <v>1</v>
      </c>
      <c r="C460" s="9" t="n">
        <v>35</v>
      </c>
      <c r="D460" s="9" t="n">
        <v>1</v>
      </c>
      <c r="E460" s="10">
        <f>COMBIN(A460,D460)/COMBIN(A460-B460,D460)</f>
        <v/>
      </c>
      <c r="F460" s="11">
        <f>ROUNDUP(E460*Controls!$B$4,4)</f>
        <v/>
      </c>
      <c r="G460" s="12">
        <f>F460/E460</f>
        <v/>
      </c>
      <c r="H460" s="10">
        <f>(A460-B460-(D460-1))/(A460-(D460-1))</f>
        <v/>
      </c>
      <c r="I460" s="9">
        <f>A460&amp;'x'&amp;B460</f>
        <v/>
      </c>
      <c r="J460" s="9">
        <f>IF(AND(G460&gt;0.9,G460&lt;1),"OK","CHECK")</f>
        <v/>
      </c>
    </row>
    <row r="461">
      <c r="A461" s="9" t="n">
        <v>36</v>
      </c>
      <c r="B461" s="9" t="n">
        <v>1</v>
      </c>
      <c r="C461" s="9" t="n">
        <v>35</v>
      </c>
      <c r="D461" s="9" t="n">
        <v>2</v>
      </c>
      <c r="E461" s="10">
        <f>COMBIN(A461,D461)/COMBIN(A461-B461,D461)</f>
        <v/>
      </c>
      <c r="F461" s="11">
        <f>ROUNDUP(E461*Controls!$B$4,4)</f>
        <v/>
      </c>
      <c r="G461" s="12">
        <f>F461/E461</f>
        <v/>
      </c>
      <c r="H461" s="10">
        <f>(A461-B461-(D461-1))/(A461-(D461-1))</f>
        <v/>
      </c>
      <c r="I461" s="9">
        <f>A461&amp;'x'&amp;B461</f>
        <v/>
      </c>
      <c r="J461" s="9">
        <f>IF(AND(G461&gt;0.9,G461&lt;1),"OK","CHECK")</f>
        <v/>
      </c>
    </row>
    <row r="462">
      <c r="A462" s="9" t="n">
        <v>36</v>
      </c>
      <c r="B462" s="9" t="n">
        <v>1</v>
      </c>
      <c r="C462" s="9" t="n">
        <v>35</v>
      </c>
      <c r="D462" s="9" t="n">
        <v>3</v>
      </c>
      <c r="E462" s="10">
        <f>COMBIN(A462,D462)/COMBIN(A462-B462,D462)</f>
        <v/>
      </c>
      <c r="F462" s="11">
        <f>ROUNDUP(E462*Controls!$B$4,4)</f>
        <v/>
      </c>
      <c r="G462" s="12">
        <f>F462/E462</f>
        <v/>
      </c>
      <c r="H462" s="10">
        <f>(A462-B462-(D462-1))/(A462-(D462-1))</f>
        <v/>
      </c>
      <c r="I462" s="9">
        <f>A462&amp;'x'&amp;B462</f>
        <v/>
      </c>
      <c r="J462" s="9">
        <f>IF(AND(G462&gt;0.9,G462&lt;1),"OK","CHECK")</f>
        <v/>
      </c>
    </row>
    <row r="463">
      <c r="A463" s="9" t="n">
        <v>36</v>
      </c>
      <c r="B463" s="9" t="n">
        <v>1</v>
      </c>
      <c r="C463" s="9" t="n">
        <v>35</v>
      </c>
      <c r="D463" s="9" t="n">
        <v>4</v>
      </c>
      <c r="E463" s="10">
        <f>COMBIN(A463,D463)/COMBIN(A463-B463,D463)</f>
        <v/>
      </c>
      <c r="F463" s="11">
        <f>ROUNDUP(E463*Controls!$B$4,4)</f>
        <v/>
      </c>
      <c r="G463" s="12">
        <f>F463/E463</f>
        <v/>
      </c>
      <c r="H463" s="10">
        <f>(A463-B463-(D463-1))/(A463-(D463-1))</f>
        <v/>
      </c>
      <c r="I463" s="9">
        <f>A463&amp;'x'&amp;B463</f>
        <v/>
      </c>
      <c r="J463" s="9">
        <f>IF(AND(G463&gt;0.9,G463&lt;1),"OK","CHECK")</f>
        <v/>
      </c>
    </row>
    <row r="464">
      <c r="A464" s="9" t="n">
        <v>36</v>
      </c>
      <c r="B464" s="9" t="n">
        <v>1</v>
      </c>
      <c r="C464" s="9" t="n">
        <v>35</v>
      </c>
      <c r="D464" s="9" t="n">
        <v>5</v>
      </c>
      <c r="E464" s="10">
        <f>COMBIN(A464,D464)/COMBIN(A464-B464,D464)</f>
        <v/>
      </c>
      <c r="F464" s="11">
        <f>ROUNDUP(E464*Controls!$B$4,4)</f>
        <v/>
      </c>
      <c r="G464" s="12">
        <f>F464/E464</f>
        <v/>
      </c>
      <c r="H464" s="10">
        <f>(A464-B464-(D464-1))/(A464-(D464-1))</f>
        <v/>
      </c>
      <c r="I464" s="9">
        <f>A464&amp;'x'&amp;B464</f>
        <v/>
      </c>
      <c r="J464" s="9">
        <f>IF(AND(G464&gt;0.9,G464&lt;1),"OK","CHECK")</f>
        <v/>
      </c>
    </row>
    <row r="465">
      <c r="A465" s="9" t="n">
        <v>36</v>
      </c>
      <c r="B465" s="9" t="n">
        <v>1</v>
      </c>
      <c r="C465" s="9" t="n">
        <v>35</v>
      </c>
      <c r="D465" s="9" t="n">
        <v>6</v>
      </c>
      <c r="E465" s="10">
        <f>COMBIN(A465,D465)/COMBIN(A465-B465,D465)</f>
        <v/>
      </c>
      <c r="F465" s="11">
        <f>ROUNDUP(E465*Controls!$B$4,4)</f>
        <v/>
      </c>
      <c r="G465" s="12">
        <f>F465/E465</f>
        <v/>
      </c>
      <c r="H465" s="10">
        <f>(A465-B465-(D465-1))/(A465-(D465-1))</f>
        <v/>
      </c>
      <c r="I465" s="9">
        <f>A465&amp;'x'&amp;B465</f>
        <v/>
      </c>
      <c r="J465" s="9">
        <f>IF(AND(G465&gt;0.9,G465&lt;1),"OK","CHECK")</f>
        <v/>
      </c>
    </row>
    <row r="466">
      <c r="A466" s="9" t="n">
        <v>36</v>
      </c>
      <c r="B466" s="9" t="n">
        <v>1</v>
      </c>
      <c r="C466" s="9" t="n">
        <v>35</v>
      </c>
      <c r="D466" s="9" t="n">
        <v>7</v>
      </c>
      <c r="E466" s="10">
        <f>COMBIN(A466,D466)/COMBIN(A466-B466,D466)</f>
        <v/>
      </c>
      <c r="F466" s="11">
        <f>ROUNDUP(E466*Controls!$B$4,4)</f>
        <v/>
      </c>
      <c r="G466" s="12">
        <f>F466/E466</f>
        <v/>
      </c>
      <c r="H466" s="10">
        <f>(A466-B466-(D466-1))/(A466-(D466-1))</f>
        <v/>
      </c>
      <c r="I466" s="9">
        <f>A466&amp;'x'&amp;B466</f>
        <v/>
      </c>
      <c r="J466" s="9">
        <f>IF(AND(G466&gt;0.9,G466&lt;1),"OK","CHECK")</f>
        <v/>
      </c>
    </row>
    <row r="467">
      <c r="A467" s="9" t="n">
        <v>36</v>
      </c>
      <c r="B467" s="9" t="n">
        <v>1</v>
      </c>
      <c r="C467" s="9" t="n">
        <v>35</v>
      </c>
      <c r="D467" s="9" t="n">
        <v>8</v>
      </c>
      <c r="E467" s="10">
        <f>COMBIN(A467,D467)/COMBIN(A467-B467,D467)</f>
        <v/>
      </c>
      <c r="F467" s="11">
        <f>ROUNDUP(E467*Controls!$B$4,4)</f>
        <v/>
      </c>
      <c r="G467" s="12">
        <f>F467/E467</f>
        <v/>
      </c>
      <c r="H467" s="10">
        <f>(A467-B467-(D467-1))/(A467-(D467-1))</f>
        <v/>
      </c>
      <c r="I467" s="9">
        <f>A467&amp;'x'&amp;B467</f>
        <v/>
      </c>
      <c r="J467" s="9">
        <f>IF(AND(G467&gt;0.9,G467&lt;1),"OK","CHECK")</f>
        <v/>
      </c>
    </row>
    <row r="468">
      <c r="A468" s="9" t="n">
        <v>36</v>
      </c>
      <c r="B468" s="9" t="n">
        <v>1</v>
      </c>
      <c r="C468" s="9" t="n">
        <v>35</v>
      </c>
      <c r="D468" s="9" t="n">
        <v>9</v>
      </c>
      <c r="E468" s="10">
        <f>COMBIN(A468,D468)/COMBIN(A468-B468,D468)</f>
        <v/>
      </c>
      <c r="F468" s="11">
        <f>ROUNDUP(E468*Controls!$B$4,4)</f>
        <v/>
      </c>
      <c r="G468" s="12">
        <f>F468/E468</f>
        <v/>
      </c>
      <c r="H468" s="10">
        <f>(A468-B468-(D468-1))/(A468-(D468-1))</f>
        <v/>
      </c>
      <c r="I468" s="9">
        <f>A468&amp;'x'&amp;B468</f>
        <v/>
      </c>
      <c r="J468" s="9">
        <f>IF(AND(G468&gt;0.9,G468&lt;1),"OK","CHECK")</f>
        <v/>
      </c>
    </row>
    <row r="469">
      <c r="A469" s="9" t="n">
        <v>36</v>
      </c>
      <c r="B469" s="9" t="n">
        <v>1</v>
      </c>
      <c r="C469" s="9" t="n">
        <v>35</v>
      </c>
      <c r="D469" s="9" t="n">
        <v>10</v>
      </c>
      <c r="E469" s="10">
        <f>COMBIN(A469,D469)/COMBIN(A469-B469,D469)</f>
        <v/>
      </c>
      <c r="F469" s="11">
        <f>ROUNDUP(E469*Controls!$B$4,4)</f>
        <v/>
      </c>
      <c r="G469" s="12">
        <f>F469/E469</f>
        <v/>
      </c>
      <c r="H469" s="10">
        <f>(A469-B469-(D469-1))/(A469-(D469-1))</f>
        <v/>
      </c>
      <c r="I469" s="9">
        <f>A469&amp;'x'&amp;B469</f>
        <v/>
      </c>
      <c r="J469" s="9">
        <f>IF(AND(G469&gt;0.9,G469&lt;1),"OK","CHECK")</f>
        <v/>
      </c>
    </row>
    <row r="470">
      <c r="A470" s="9" t="n">
        <v>36</v>
      </c>
      <c r="B470" s="9" t="n">
        <v>1</v>
      </c>
      <c r="C470" s="9" t="n">
        <v>35</v>
      </c>
      <c r="D470" s="9" t="n">
        <v>11</v>
      </c>
      <c r="E470" s="10">
        <f>COMBIN(A470,D470)/COMBIN(A470-B470,D470)</f>
        <v/>
      </c>
      <c r="F470" s="11">
        <f>ROUNDUP(E470*Controls!$B$4,4)</f>
        <v/>
      </c>
      <c r="G470" s="12">
        <f>F470/E470</f>
        <v/>
      </c>
      <c r="H470" s="10">
        <f>(A470-B470-(D470-1))/(A470-(D470-1))</f>
        <v/>
      </c>
      <c r="I470" s="9">
        <f>A470&amp;'x'&amp;B470</f>
        <v/>
      </c>
      <c r="J470" s="9">
        <f>IF(AND(G470&gt;0.9,G470&lt;1),"OK","CHECK")</f>
        <v/>
      </c>
    </row>
    <row r="471">
      <c r="A471" s="9" t="n">
        <v>36</v>
      </c>
      <c r="B471" s="9" t="n">
        <v>1</v>
      </c>
      <c r="C471" s="9" t="n">
        <v>35</v>
      </c>
      <c r="D471" s="9" t="n">
        <v>12</v>
      </c>
      <c r="E471" s="10">
        <f>COMBIN(A471,D471)/COMBIN(A471-B471,D471)</f>
        <v/>
      </c>
      <c r="F471" s="11">
        <f>ROUNDUP(E471*Controls!$B$4,4)</f>
        <v/>
      </c>
      <c r="G471" s="12">
        <f>F471/E471</f>
        <v/>
      </c>
      <c r="H471" s="10">
        <f>(A471-B471-(D471-1))/(A471-(D471-1))</f>
        <v/>
      </c>
      <c r="I471" s="9">
        <f>A471&amp;'x'&amp;B471</f>
        <v/>
      </c>
      <c r="J471" s="9">
        <f>IF(AND(G471&gt;0.9,G471&lt;1),"OK","CHECK")</f>
        <v/>
      </c>
    </row>
    <row r="472">
      <c r="A472" s="9" t="n">
        <v>36</v>
      </c>
      <c r="B472" s="9" t="n">
        <v>1</v>
      </c>
      <c r="C472" s="9" t="n">
        <v>35</v>
      </c>
      <c r="D472" s="9" t="n">
        <v>13</v>
      </c>
      <c r="E472" s="10">
        <f>COMBIN(A472,D472)/COMBIN(A472-B472,D472)</f>
        <v/>
      </c>
      <c r="F472" s="11">
        <f>ROUNDUP(E472*Controls!$B$4,4)</f>
        <v/>
      </c>
      <c r="G472" s="12">
        <f>F472/E472</f>
        <v/>
      </c>
      <c r="H472" s="10">
        <f>(A472-B472-(D472-1))/(A472-(D472-1))</f>
        <v/>
      </c>
      <c r="I472" s="9">
        <f>A472&amp;'x'&amp;B472</f>
        <v/>
      </c>
      <c r="J472" s="9">
        <f>IF(AND(G472&gt;0.9,G472&lt;1),"OK","CHECK")</f>
        <v/>
      </c>
    </row>
    <row r="473">
      <c r="A473" s="9" t="n">
        <v>36</v>
      </c>
      <c r="B473" s="9" t="n">
        <v>1</v>
      </c>
      <c r="C473" s="9" t="n">
        <v>35</v>
      </c>
      <c r="D473" s="9" t="n">
        <v>14</v>
      </c>
      <c r="E473" s="10">
        <f>COMBIN(A473,D473)/COMBIN(A473-B473,D473)</f>
        <v/>
      </c>
      <c r="F473" s="11">
        <f>ROUNDUP(E473*Controls!$B$4,4)</f>
        <v/>
      </c>
      <c r="G473" s="12">
        <f>F473/E473</f>
        <v/>
      </c>
      <c r="H473" s="10">
        <f>(A473-B473-(D473-1))/(A473-(D473-1))</f>
        <v/>
      </c>
      <c r="I473" s="9">
        <f>A473&amp;'x'&amp;B473</f>
        <v/>
      </c>
      <c r="J473" s="9">
        <f>IF(AND(G473&gt;0.9,G473&lt;1),"OK","CHECK")</f>
        <v/>
      </c>
    </row>
    <row r="474">
      <c r="A474" s="9" t="n">
        <v>36</v>
      </c>
      <c r="B474" s="9" t="n">
        <v>1</v>
      </c>
      <c r="C474" s="9" t="n">
        <v>35</v>
      </c>
      <c r="D474" s="9" t="n">
        <v>15</v>
      </c>
      <c r="E474" s="10">
        <f>COMBIN(A474,D474)/COMBIN(A474-B474,D474)</f>
        <v/>
      </c>
      <c r="F474" s="11">
        <f>ROUNDUP(E474*Controls!$B$4,4)</f>
        <v/>
      </c>
      <c r="G474" s="12">
        <f>F474/E474</f>
        <v/>
      </c>
      <c r="H474" s="10">
        <f>(A474-B474-(D474-1))/(A474-(D474-1))</f>
        <v/>
      </c>
      <c r="I474" s="9">
        <f>A474&amp;'x'&amp;B474</f>
        <v/>
      </c>
      <c r="J474" s="9">
        <f>IF(AND(G474&gt;0.9,G474&lt;1),"OK","CHECK")</f>
        <v/>
      </c>
    </row>
    <row r="475">
      <c r="A475" s="9" t="n">
        <v>36</v>
      </c>
      <c r="B475" s="9" t="n">
        <v>1</v>
      </c>
      <c r="C475" s="9" t="n">
        <v>35</v>
      </c>
      <c r="D475" s="9" t="n">
        <v>16</v>
      </c>
      <c r="E475" s="10">
        <f>COMBIN(A475,D475)/COMBIN(A475-B475,D475)</f>
        <v/>
      </c>
      <c r="F475" s="11">
        <f>ROUNDUP(E475*Controls!$B$4,4)</f>
        <v/>
      </c>
      <c r="G475" s="12">
        <f>F475/E475</f>
        <v/>
      </c>
      <c r="H475" s="10">
        <f>(A475-B475-(D475-1))/(A475-(D475-1))</f>
        <v/>
      </c>
      <c r="I475" s="9">
        <f>A475&amp;'x'&amp;B475</f>
        <v/>
      </c>
      <c r="J475" s="9">
        <f>IF(AND(G475&gt;0.9,G475&lt;1),"OK","CHECK")</f>
        <v/>
      </c>
    </row>
    <row r="476">
      <c r="A476" s="9" t="n">
        <v>36</v>
      </c>
      <c r="B476" s="9" t="n">
        <v>1</v>
      </c>
      <c r="C476" s="9" t="n">
        <v>35</v>
      </c>
      <c r="D476" s="9" t="n">
        <v>17</v>
      </c>
      <c r="E476" s="10">
        <f>COMBIN(A476,D476)/COMBIN(A476-B476,D476)</f>
        <v/>
      </c>
      <c r="F476" s="11">
        <f>ROUNDUP(E476*Controls!$B$4,4)</f>
        <v/>
      </c>
      <c r="G476" s="12">
        <f>F476/E476</f>
        <v/>
      </c>
      <c r="H476" s="10">
        <f>(A476-B476-(D476-1))/(A476-(D476-1))</f>
        <v/>
      </c>
      <c r="I476" s="9">
        <f>A476&amp;'x'&amp;B476</f>
        <v/>
      </c>
      <c r="J476" s="9">
        <f>IF(AND(G476&gt;0.9,G476&lt;1),"OK","CHECK")</f>
        <v/>
      </c>
    </row>
    <row r="477">
      <c r="A477" s="9" t="n">
        <v>36</v>
      </c>
      <c r="B477" s="9" t="n">
        <v>1</v>
      </c>
      <c r="C477" s="9" t="n">
        <v>35</v>
      </c>
      <c r="D477" s="9" t="n">
        <v>18</v>
      </c>
      <c r="E477" s="10">
        <f>COMBIN(A477,D477)/COMBIN(A477-B477,D477)</f>
        <v/>
      </c>
      <c r="F477" s="11">
        <f>ROUNDUP(E477*Controls!$B$4,4)</f>
        <v/>
      </c>
      <c r="G477" s="12">
        <f>F477/E477</f>
        <v/>
      </c>
      <c r="H477" s="10">
        <f>(A477-B477-(D477-1))/(A477-(D477-1))</f>
        <v/>
      </c>
      <c r="I477" s="9">
        <f>A477&amp;'x'&amp;B477</f>
        <v/>
      </c>
      <c r="J477" s="9">
        <f>IF(AND(G477&gt;0.9,G477&lt;1),"OK","CHECK")</f>
        <v/>
      </c>
    </row>
    <row r="478">
      <c r="A478" s="9" t="n">
        <v>36</v>
      </c>
      <c r="B478" s="9" t="n">
        <v>1</v>
      </c>
      <c r="C478" s="9" t="n">
        <v>35</v>
      </c>
      <c r="D478" s="9" t="n">
        <v>19</v>
      </c>
      <c r="E478" s="10">
        <f>COMBIN(A478,D478)/COMBIN(A478-B478,D478)</f>
        <v/>
      </c>
      <c r="F478" s="11">
        <f>ROUNDUP(E478*Controls!$B$4,4)</f>
        <v/>
      </c>
      <c r="G478" s="12">
        <f>F478/E478</f>
        <v/>
      </c>
      <c r="H478" s="10">
        <f>(A478-B478-(D478-1))/(A478-(D478-1))</f>
        <v/>
      </c>
      <c r="I478" s="9">
        <f>A478&amp;'x'&amp;B478</f>
        <v/>
      </c>
      <c r="J478" s="9">
        <f>IF(AND(G478&gt;0.9,G478&lt;1),"OK","CHECK")</f>
        <v/>
      </c>
    </row>
    <row r="479">
      <c r="A479" s="9" t="n">
        <v>36</v>
      </c>
      <c r="B479" s="9" t="n">
        <v>1</v>
      </c>
      <c r="C479" s="9" t="n">
        <v>35</v>
      </c>
      <c r="D479" s="9" t="n">
        <v>20</v>
      </c>
      <c r="E479" s="10">
        <f>COMBIN(A479,D479)/COMBIN(A479-B479,D479)</f>
        <v/>
      </c>
      <c r="F479" s="11">
        <f>ROUNDUP(E479*Controls!$B$4,4)</f>
        <v/>
      </c>
      <c r="G479" s="12">
        <f>F479/E479</f>
        <v/>
      </c>
      <c r="H479" s="10">
        <f>(A479-B479-(D479-1))/(A479-(D479-1))</f>
        <v/>
      </c>
      <c r="I479" s="9">
        <f>A479&amp;'x'&amp;B479</f>
        <v/>
      </c>
      <c r="J479" s="9">
        <f>IF(AND(G479&gt;0.9,G479&lt;1),"OK","CHECK")</f>
        <v/>
      </c>
    </row>
    <row r="480">
      <c r="A480" s="9" t="n">
        <v>36</v>
      </c>
      <c r="B480" s="9" t="n">
        <v>1</v>
      </c>
      <c r="C480" s="9" t="n">
        <v>35</v>
      </c>
      <c r="D480" s="9" t="n">
        <v>21</v>
      </c>
      <c r="E480" s="10">
        <f>COMBIN(A480,D480)/COMBIN(A480-B480,D480)</f>
        <v/>
      </c>
      <c r="F480" s="11">
        <f>ROUNDUP(E480*Controls!$B$4,4)</f>
        <v/>
      </c>
      <c r="G480" s="12">
        <f>F480/E480</f>
        <v/>
      </c>
      <c r="H480" s="10">
        <f>(A480-B480-(D480-1))/(A480-(D480-1))</f>
        <v/>
      </c>
      <c r="I480" s="9">
        <f>A480&amp;'x'&amp;B480</f>
        <v/>
      </c>
      <c r="J480" s="9">
        <f>IF(AND(G480&gt;0.9,G480&lt;1),"OK","CHECK")</f>
        <v/>
      </c>
    </row>
    <row r="481">
      <c r="A481" s="9" t="n">
        <v>36</v>
      </c>
      <c r="B481" s="9" t="n">
        <v>1</v>
      </c>
      <c r="C481" s="9" t="n">
        <v>35</v>
      </c>
      <c r="D481" s="9" t="n">
        <v>22</v>
      </c>
      <c r="E481" s="10">
        <f>COMBIN(A481,D481)/COMBIN(A481-B481,D481)</f>
        <v/>
      </c>
      <c r="F481" s="11">
        <f>ROUNDUP(E481*Controls!$B$4,4)</f>
        <v/>
      </c>
      <c r="G481" s="12">
        <f>F481/E481</f>
        <v/>
      </c>
      <c r="H481" s="10">
        <f>(A481-B481-(D481-1))/(A481-(D481-1))</f>
        <v/>
      </c>
      <c r="I481" s="9">
        <f>A481&amp;'x'&amp;B481</f>
        <v/>
      </c>
      <c r="J481" s="9">
        <f>IF(AND(G481&gt;0.9,G481&lt;1),"OK","CHECK")</f>
        <v/>
      </c>
    </row>
    <row r="482">
      <c r="A482" s="9" t="n">
        <v>36</v>
      </c>
      <c r="B482" s="9" t="n">
        <v>1</v>
      </c>
      <c r="C482" s="9" t="n">
        <v>35</v>
      </c>
      <c r="D482" s="9" t="n">
        <v>23</v>
      </c>
      <c r="E482" s="10">
        <f>COMBIN(A482,D482)/COMBIN(A482-B482,D482)</f>
        <v/>
      </c>
      <c r="F482" s="11">
        <f>ROUNDUP(E482*Controls!$B$4,4)</f>
        <v/>
      </c>
      <c r="G482" s="12">
        <f>F482/E482</f>
        <v/>
      </c>
      <c r="H482" s="10">
        <f>(A482-B482-(D482-1))/(A482-(D482-1))</f>
        <v/>
      </c>
      <c r="I482" s="9">
        <f>A482&amp;'x'&amp;B482</f>
        <v/>
      </c>
      <c r="J482" s="9">
        <f>IF(AND(G482&gt;0.9,G482&lt;1),"OK","CHECK")</f>
        <v/>
      </c>
    </row>
    <row r="483">
      <c r="A483" s="9" t="n">
        <v>36</v>
      </c>
      <c r="B483" s="9" t="n">
        <v>1</v>
      </c>
      <c r="C483" s="9" t="n">
        <v>35</v>
      </c>
      <c r="D483" s="9" t="n">
        <v>24</v>
      </c>
      <c r="E483" s="10">
        <f>COMBIN(A483,D483)/COMBIN(A483-B483,D483)</f>
        <v/>
      </c>
      <c r="F483" s="11">
        <f>ROUNDUP(E483*Controls!$B$4,4)</f>
        <v/>
      </c>
      <c r="G483" s="12">
        <f>F483/E483</f>
        <v/>
      </c>
      <c r="H483" s="10">
        <f>(A483-B483-(D483-1))/(A483-(D483-1))</f>
        <v/>
      </c>
      <c r="I483" s="9">
        <f>A483&amp;'x'&amp;B483</f>
        <v/>
      </c>
      <c r="J483" s="9">
        <f>IF(AND(G483&gt;0.9,G483&lt;1),"OK","CHECK")</f>
        <v/>
      </c>
    </row>
    <row r="484">
      <c r="A484" s="9" t="n">
        <v>36</v>
      </c>
      <c r="B484" s="9" t="n">
        <v>1</v>
      </c>
      <c r="C484" s="9" t="n">
        <v>35</v>
      </c>
      <c r="D484" s="9" t="n">
        <v>25</v>
      </c>
      <c r="E484" s="10">
        <f>COMBIN(A484,D484)/COMBIN(A484-B484,D484)</f>
        <v/>
      </c>
      <c r="F484" s="11">
        <f>ROUNDUP(E484*Controls!$B$4,4)</f>
        <v/>
      </c>
      <c r="G484" s="12">
        <f>F484/E484</f>
        <v/>
      </c>
      <c r="H484" s="10">
        <f>(A484-B484-(D484-1))/(A484-(D484-1))</f>
        <v/>
      </c>
      <c r="I484" s="9">
        <f>A484&amp;'x'&amp;B484</f>
        <v/>
      </c>
      <c r="J484" s="9">
        <f>IF(AND(G484&gt;0.9,G484&lt;1),"OK","CHECK")</f>
        <v/>
      </c>
    </row>
    <row r="485">
      <c r="A485" s="9" t="n">
        <v>36</v>
      </c>
      <c r="B485" s="9" t="n">
        <v>1</v>
      </c>
      <c r="C485" s="9" t="n">
        <v>35</v>
      </c>
      <c r="D485" s="9" t="n">
        <v>26</v>
      </c>
      <c r="E485" s="10">
        <f>COMBIN(A485,D485)/COMBIN(A485-B485,D485)</f>
        <v/>
      </c>
      <c r="F485" s="11">
        <f>ROUNDUP(E485*Controls!$B$4,4)</f>
        <v/>
      </c>
      <c r="G485" s="12">
        <f>F485/E485</f>
        <v/>
      </c>
      <c r="H485" s="10">
        <f>(A485-B485-(D485-1))/(A485-(D485-1))</f>
        <v/>
      </c>
      <c r="I485" s="9">
        <f>A485&amp;'x'&amp;B485</f>
        <v/>
      </c>
      <c r="J485" s="9">
        <f>IF(AND(G485&gt;0.9,G485&lt;1),"OK","CHECK")</f>
        <v/>
      </c>
    </row>
    <row r="486">
      <c r="A486" s="9" t="n">
        <v>36</v>
      </c>
      <c r="B486" s="9" t="n">
        <v>1</v>
      </c>
      <c r="C486" s="9" t="n">
        <v>35</v>
      </c>
      <c r="D486" s="9" t="n">
        <v>27</v>
      </c>
      <c r="E486" s="10">
        <f>COMBIN(A486,D486)/COMBIN(A486-B486,D486)</f>
        <v/>
      </c>
      <c r="F486" s="11">
        <f>ROUNDUP(E486*Controls!$B$4,4)</f>
        <v/>
      </c>
      <c r="G486" s="12">
        <f>F486/E486</f>
        <v/>
      </c>
      <c r="H486" s="10">
        <f>(A486-B486-(D486-1))/(A486-(D486-1))</f>
        <v/>
      </c>
      <c r="I486" s="9">
        <f>A486&amp;'x'&amp;B486</f>
        <v/>
      </c>
      <c r="J486" s="9">
        <f>IF(AND(G486&gt;0.9,G486&lt;1),"OK","CHECK")</f>
        <v/>
      </c>
    </row>
    <row r="487">
      <c r="A487" s="9" t="n">
        <v>36</v>
      </c>
      <c r="B487" s="9" t="n">
        <v>1</v>
      </c>
      <c r="C487" s="9" t="n">
        <v>35</v>
      </c>
      <c r="D487" s="9" t="n">
        <v>28</v>
      </c>
      <c r="E487" s="10">
        <f>COMBIN(A487,D487)/COMBIN(A487-B487,D487)</f>
        <v/>
      </c>
      <c r="F487" s="11">
        <f>ROUNDUP(E487*Controls!$B$4,4)</f>
        <v/>
      </c>
      <c r="G487" s="12">
        <f>F487/E487</f>
        <v/>
      </c>
      <c r="H487" s="10">
        <f>(A487-B487-(D487-1))/(A487-(D487-1))</f>
        <v/>
      </c>
      <c r="I487" s="9">
        <f>A487&amp;'x'&amp;B487</f>
        <v/>
      </c>
      <c r="J487" s="9">
        <f>IF(AND(G487&gt;0.9,G487&lt;1),"OK","CHECK")</f>
        <v/>
      </c>
    </row>
    <row r="488">
      <c r="A488" s="9" t="n">
        <v>36</v>
      </c>
      <c r="B488" s="9" t="n">
        <v>1</v>
      </c>
      <c r="C488" s="9" t="n">
        <v>35</v>
      </c>
      <c r="D488" s="9" t="n">
        <v>29</v>
      </c>
      <c r="E488" s="10">
        <f>COMBIN(A488,D488)/COMBIN(A488-B488,D488)</f>
        <v/>
      </c>
      <c r="F488" s="11">
        <f>ROUNDUP(E488*Controls!$B$4,4)</f>
        <v/>
      </c>
      <c r="G488" s="12">
        <f>F488/E488</f>
        <v/>
      </c>
      <c r="H488" s="10">
        <f>(A488-B488-(D488-1))/(A488-(D488-1))</f>
        <v/>
      </c>
      <c r="I488" s="9">
        <f>A488&amp;'x'&amp;B488</f>
        <v/>
      </c>
      <c r="J488" s="9">
        <f>IF(AND(G488&gt;0.9,G488&lt;1),"OK","CHECK")</f>
        <v/>
      </c>
    </row>
    <row r="489">
      <c r="A489" s="9" t="n">
        <v>36</v>
      </c>
      <c r="B489" s="9" t="n">
        <v>1</v>
      </c>
      <c r="C489" s="9" t="n">
        <v>35</v>
      </c>
      <c r="D489" s="9" t="n">
        <v>30</v>
      </c>
      <c r="E489" s="10">
        <f>COMBIN(A489,D489)/COMBIN(A489-B489,D489)</f>
        <v/>
      </c>
      <c r="F489" s="11">
        <f>ROUNDUP(E489*Controls!$B$4,4)</f>
        <v/>
      </c>
      <c r="G489" s="12">
        <f>F489/E489</f>
        <v/>
      </c>
      <c r="H489" s="10">
        <f>(A489-B489-(D489-1))/(A489-(D489-1))</f>
        <v/>
      </c>
      <c r="I489" s="9">
        <f>A489&amp;'x'&amp;B489</f>
        <v/>
      </c>
      <c r="J489" s="9">
        <f>IF(AND(G489&gt;0.9,G489&lt;1),"OK","CHECK")</f>
        <v/>
      </c>
    </row>
    <row r="490">
      <c r="A490" s="9" t="n">
        <v>36</v>
      </c>
      <c r="B490" s="9" t="n">
        <v>1</v>
      </c>
      <c r="C490" s="9" t="n">
        <v>35</v>
      </c>
      <c r="D490" s="9" t="n">
        <v>31</v>
      </c>
      <c r="E490" s="10">
        <f>COMBIN(A490,D490)/COMBIN(A490-B490,D490)</f>
        <v/>
      </c>
      <c r="F490" s="11">
        <f>ROUNDUP(E490*Controls!$B$4,4)</f>
        <v/>
      </c>
      <c r="G490" s="12">
        <f>F490/E490</f>
        <v/>
      </c>
      <c r="H490" s="10">
        <f>(A490-B490-(D490-1))/(A490-(D490-1))</f>
        <v/>
      </c>
      <c r="I490" s="9">
        <f>A490&amp;'x'&amp;B490</f>
        <v/>
      </c>
      <c r="J490" s="9">
        <f>IF(AND(G490&gt;0.9,G490&lt;1),"OK","CHECK")</f>
        <v/>
      </c>
    </row>
    <row r="491">
      <c r="A491" s="9" t="n">
        <v>36</v>
      </c>
      <c r="B491" s="9" t="n">
        <v>1</v>
      </c>
      <c r="C491" s="9" t="n">
        <v>35</v>
      </c>
      <c r="D491" s="9" t="n">
        <v>32</v>
      </c>
      <c r="E491" s="10">
        <f>COMBIN(A491,D491)/COMBIN(A491-B491,D491)</f>
        <v/>
      </c>
      <c r="F491" s="11">
        <f>ROUNDUP(E491*Controls!$B$4,4)</f>
        <v/>
      </c>
      <c r="G491" s="12">
        <f>F491/E491</f>
        <v/>
      </c>
      <c r="H491" s="10">
        <f>(A491-B491-(D491-1))/(A491-(D491-1))</f>
        <v/>
      </c>
      <c r="I491" s="9">
        <f>A491&amp;'x'&amp;B491</f>
        <v/>
      </c>
      <c r="J491" s="9">
        <f>IF(AND(G491&gt;0.9,G491&lt;1),"OK","CHECK")</f>
        <v/>
      </c>
    </row>
    <row r="492">
      <c r="A492" s="9" t="n">
        <v>36</v>
      </c>
      <c r="B492" s="9" t="n">
        <v>1</v>
      </c>
      <c r="C492" s="9" t="n">
        <v>35</v>
      </c>
      <c r="D492" s="9" t="n">
        <v>33</v>
      </c>
      <c r="E492" s="10">
        <f>COMBIN(A492,D492)/COMBIN(A492-B492,D492)</f>
        <v/>
      </c>
      <c r="F492" s="11">
        <f>ROUNDUP(E492*Controls!$B$4,4)</f>
        <v/>
      </c>
      <c r="G492" s="12">
        <f>F492/E492</f>
        <v/>
      </c>
      <c r="H492" s="10">
        <f>(A492-B492-(D492-1))/(A492-(D492-1))</f>
        <v/>
      </c>
      <c r="I492" s="9">
        <f>A492&amp;'x'&amp;B492</f>
        <v/>
      </c>
      <c r="J492" s="9">
        <f>IF(AND(G492&gt;0.9,G492&lt;1),"OK","CHECK")</f>
        <v/>
      </c>
    </row>
    <row r="493">
      <c r="A493" s="9" t="n">
        <v>36</v>
      </c>
      <c r="B493" s="9" t="n">
        <v>1</v>
      </c>
      <c r="C493" s="9" t="n">
        <v>35</v>
      </c>
      <c r="D493" s="9" t="n">
        <v>34</v>
      </c>
      <c r="E493" s="10">
        <f>COMBIN(A493,D493)/COMBIN(A493-B493,D493)</f>
        <v/>
      </c>
      <c r="F493" s="11">
        <f>ROUNDUP(E493*Controls!$B$4,4)</f>
        <v/>
      </c>
      <c r="G493" s="12">
        <f>F493/E493</f>
        <v/>
      </c>
      <c r="H493" s="10">
        <f>(A493-B493-(D493-1))/(A493-(D493-1))</f>
        <v/>
      </c>
      <c r="I493" s="9">
        <f>A493&amp;'x'&amp;B493</f>
        <v/>
      </c>
      <c r="J493" s="9">
        <f>IF(AND(G493&gt;0.9,G493&lt;1),"OK","CHECK")</f>
        <v/>
      </c>
    </row>
    <row r="494">
      <c r="A494" s="9" t="n">
        <v>36</v>
      </c>
      <c r="B494" s="9" t="n">
        <v>1</v>
      </c>
      <c r="C494" s="9" t="n">
        <v>35</v>
      </c>
      <c r="D494" s="9" t="n">
        <v>35</v>
      </c>
      <c r="E494" s="10">
        <f>COMBIN(A494,D494)/COMBIN(A494-B494,D494)</f>
        <v/>
      </c>
      <c r="F494" s="11">
        <f>ROUNDUP(E494*Controls!$B$4,4)</f>
        <v/>
      </c>
      <c r="G494" s="12">
        <f>F494/E494</f>
        <v/>
      </c>
      <c r="H494" s="10">
        <f>(A494-B494-(D494-1))/(A494-(D494-1))</f>
        <v/>
      </c>
      <c r="I494" s="9">
        <f>A494&amp;'x'&amp;B494</f>
        <v/>
      </c>
      <c r="J494" s="9">
        <f>IF(AND(G494&gt;0.9,G494&lt;1),"OK","CHECK")</f>
        <v/>
      </c>
    </row>
    <row r="495">
      <c r="A495" s="9" t="n">
        <v>36</v>
      </c>
      <c r="B495" s="9" t="n">
        <v>2</v>
      </c>
      <c r="C495" s="9" t="n">
        <v>34</v>
      </c>
      <c r="D495" s="9" t="n">
        <v>1</v>
      </c>
      <c r="E495" s="10">
        <f>COMBIN(A495,D495)/COMBIN(A495-B495,D495)</f>
        <v/>
      </c>
      <c r="F495" s="11">
        <f>ROUNDUP(E495*Controls!$B$4,4)</f>
        <v/>
      </c>
      <c r="G495" s="12">
        <f>F495/E495</f>
        <v/>
      </c>
      <c r="H495" s="10">
        <f>(A495-B495-(D495-1))/(A495-(D495-1))</f>
        <v/>
      </c>
      <c r="I495" s="9">
        <f>A495&amp;'x'&amp;B495</f>
        <v/>
      </c>
      <c r="J495" s="9">
        <f>IF(AND(G495&gt;0.9,G495&lt;1),"OK","CHECK")</f>
        <v/>
      </c>
    </row>
    <row r="496">
      <c r="A496" s="9" t="n">
        <v>36</v>
      </c>
      <c r="B496" s="9" t="n">
        <v>2</v>
      </c>
      <c r="C496" s="9" t="n">
        <v>34</v>
      </c>
      <c r="D496" s="9" t="n">
        <v>2</v>
      </c>
      <c r="E496" s="10">
        <f>COMBIN(A496,D496)/COMBIN(A496-B496,D496)</f>
        <v/>
      </c>
      <c r="F496" s="11">
        <f>ROUNDUP(E496*Controls!$B$4,4)</f>
        <v/>
      </c>
      <c r="G496" s="12">
        <f>F496/E496</f>
        <v/>
      </c>
      <c r="H496" s="10">
        <f>(A496-B496-(D496-1))/(A496-(D496-1))</f>
        <v/>
      </c>
      <c r="I496" s="9">
        <f>A496&amp;'x'&amp;B496</f>
        <v/>
      </c>
      <c r="J496" s="9">
        <f>IF(AND(G496&gt;0.9,G496&lt;1),"OK","CHECK")</f>
        <v/>
      </c>
    </row>
    <row r="497">
      <c r="A497" s="9" t="n">
        <v>36</v>
      </c>
      <c r="B497" s="9" t="n">
        <v>2</v>
      </c>
      <c r="C497" s="9" t="n">
        <v>34</v>
      </c>
      <c r="D497" s="9" t="n">
        <v>3</v>
      </c>
      <c r="E497" s="10">
        <f>COMBIN(A497,D497)/COMBIN(A497-B497,D497)</f>
        <v/>
      </c>
      <c r="F497" s="11">
        <f>ROUNDUP(E497*Controls!$B$4,4)</f>
        <v/>
      </c>
      <c r="G497" s="12">
        <f>F497/E497</f>
        <v/>
      </c>
      <c r="H497" s="10">
        <f>(A497-B497-(D497-1))/(A497-(D497-1))</f>
        <v/>
      </c>
      <c r="I497" s="9">
        <f>A497&amp;'x'&amp;B497</f>
        <v/>
      </c>
      <c r="J497" s="9">
        <f>IF(AND(G497&gt;0.9,G497&lt;1),"OK","CHECK")</f>
        <v/>
      </c>
    </row>
    <row r="498">
      <c r="A498" s="9" t="n">
        <v>36</v>
      </c>
      <c r="B498" s="9" t="n">
        <v>2</v>
      </c>
      <c r="C498" s="9" t="n">
        <v>34</v>
      </c>
      <c r="D498" s="9" t="n">
        <v>4</v>
      </c>
      <c r="E498" s="10">
        <f>COMBIN(A498,D498)/COMBIN(A498-B498,D498)</f>
        <v/>
      </c>
      <c r="F498" s="11">
        <f>ROUNDUP(E498*Controls!$B$4,4)</f>
        <v/>
      </c>
      <c r="G498" s="12">
        <f>F498/E498</f>
        <v/>
      </c>
      <c r="H498" s="10">
        <f>(A498-B498-(D498-1))/(A498-(D498-1))</f>
        <v/>
      </c>
      <c r="I498" s="9">
        <f>A498&amp;'x'&amp;B498</f>
        <v/>
      </c>
      <c r="J498" s="9">
        <f>IF(AND(G498&gt;0.9,G498&lt;1),"OK","CHECK")</f>
        <v/>
      </c>
    </row>
    <row r="499">
      <c r="A499" s="9" t="n">
        <v>36</v>
      </c>
      <c r="B499" s="9" t="n">
        <v>2</v>
      </c>
      <c r="C499" s="9" t="n">
        <v>34</v>
      </c>
      <c r="D499" s="9" t="n">
        <v>5</v>
      </c>
      <c r="E499" s="10">
        <f>COMBIN(A499,D499)/COMBIN(A499-B499,D499)</f>
        <v/>
      </c>
      <c r="F499" s="11">
        <f>ROUNDUP(E499*Controls!$B$4,4)</f>
        <v/>
      </c>
      <c r="G499" s="12">
        <f>F499/E499</f>
        <v/>
      </c>
      <c r="H499" s="10">
        <f>(A499-B499-(D499-1))/(A499-(D499-1))</f>
        <v/>
      </c>
      <c r="I499" s="9">
        <f>A499&amp;'x'&amp;B499</f>
        <v/>
      </c>
      <c r="J499" s="9">
        <f>IF(AND(G499&gt;0.9,G499&lt;1),"OK","CHECK")</f>
        <v/>
      </c>
    </row>
    <row r="500">
      <c r="A500" s="9" t="n">
        <v>36</v>
      </c>
      <c r="B500" s="9" t="n">
        <v>2</v>
      </c>
      <c r="C500" s="9" t="n">
        <v>34</v>
      </c>
      <c r="D500" s="9" t="n">
        <v>6</v>
      </c>
      <c r="E500" s="10">
        <f>COMBIN(A500,D500)/COMBIN(A500-B500,D500)</f>
        <v/>
      </c>
      <c r="F500" s="11">
        <f>ROUNDUP(E500*Controls!$B$4,4)</f>
        <v/>
      </c>
      <c r="G500" s="12">
        <f>F500/E500</f>
        <v/>
      </c>
      <c r="H500" s="10">
        <f>(A500-B500-(D500-1))/(A500-(D500-1))</f>
        <v/>
      </c>
      <c r="I500" s="9">
        <f>A500&amp;'x'&amp;B500</f>
        <v/>
      </c>
      <c r="J500" s="9">
        <f>IF(AND(G500&gt;0.9,G500&lt;1),"OK","CHECK")</f>
        <v/>
      </c>
    </row>
    <row r="501">
      <c r="A501" s="9" t="n">
        <v>36</v>
      </c>
      <c r="B501" s="9" t="n">
        <v>2</v>
      </c>
      <c r="C501" s="9" t="n">
        <v>34</v>
      </c>
      <c r="D501" s="9" t="n">
        <v>7</v>
      </c>
      <c r="E501" s="10">
        <f>COMBIN(A501,D501)/COMBIN(A501-B501,D501)</f>
        <v/>
      </c>
      <c r="F501" s="11">
        <f>ROUNDUP(E501*Controls!$B$4,4)</f>
        <v/>
      </c>
      <c r="G501" s="12">
        <f>F501/E501</f>
        <v/>
      </c>
      <c r="H501" s="10">
        <f>(A501-B501-(D501-1))/(A501-(D501-1))</f>
        <v/>
      </c>
      <c r="I501" s="9">
        <f>A501&amp;'x'&amp;B501</f>
        <v/>
      </c>
      <c r="J501" s="9">
        <f>IF(AND(G501&gt;0.9,G501&lt;1),"OK","CHECK")</f>
        <v/>
      </c>
    </row>
    <row r="502">
      <c r="A502" s="9" t="n">
        <v>36</v>
      </c>
      <c r="B502" s="9" t="n">
        <v>2</v>
      </c>
      <c r="C502" s="9" t="n">
        <v>34</v>
      </c>
      <c r="D502" s="9" t="n">
        <v>8</v>
      </c>
      <c r="E502" s="10">
        <f>COMBIN(A502,D502)/COMBIN(A502-B502,D502)</f>
        <v/>
      </c>
      <c r="F502" s="11">
        <f>ROUNDUP(E502*Controls!$B$4,4)</f>
        <v/>
      </c>
      <c r="G502" s="12">
        <f>F502/E502</f>
        <v/>
      </c>
      <c r="H502" s="10">
        <f>(A502-B502-(D502-1))/(A502-(D502-1))</f>
        <v/>
      </c>
      <c r="I502" s="9">
        <f>A502&amp;'x'&amp;B502</f>
        <v/>
      </c>
      <c r="J502" s="9">
        <f>IF(AND(G502&gt;0.9,G502&lt;1),"OK","CHECK")</f>
        <v/>
      </c>
    </row>
    <row r="503">
      <c r="A503" s="9" t="n">
        <v>36</v>
      </c>
      <c r="B503" s="9" t="n">
        <v>2</v>
      </c>
      <c r="C503" s="9" t="n">
        <v>34</v>
      </c>
      <c r="D503" s="9" t="n">
        <v>9</v>
      </c>
      <c r="E503" s="10">
        <f>COMBIN(A503,D503)/COMBIN(A503-B503,D503)</f>
        <v/>
      </c>
      <c r="F503" s="11">
        <f>ROUNDUP(E503*Controls!$B$4,4)</f>
        <v/>
      </c>
      <c r="G503" s="12">
        <f>F503/E503</f>
        <v/>
      </c>
      <c r="H503" s="10">
        <f>(A503-B503-(D503-1))/(A503-(D503-1))</f>
        <v/>
      </c>
      <c r="I503" s="9">
        <f>A503&amp;'x'&amp;B503</f>
        <v/>
      </c>
      <c r="J503" s="9">
        <f>IF(AND(G503&gt;0.9,G503&lt;1),"OK","CHECK")</f>
        <v/>
      </c>
    </row>
    <row r="504">
      <c r="A504" s="9" t="n">
        <v>36</v>
      </c>
      <c r="B504" s="9" t="n">
        <v>2</v>
      </c>
      <c r="C504" s="9" t="n">
        <v>34</v>
      </c>
      <c r="D504" s="9" t="n">
        <v>10</v>
      </c>
      <c r="E504" s="10">
        <f>COMBIN(A504,D504)/COMBIN(A504-B504,D504)</f>
        <v/>
      </c>
      <c r="F504" s="11">
        <f>ROUNDUP(E504*Controls!$B$4,4)</f>
        <v/>
      </c>
      <c r="G504" s="12">
        <f>F504/E504</f>
        <v/>
      </c>
      <c r="H504" s="10">
        <f>(A504-B504-(D504-1))/(A504-(D504-1))</f>
        <v/>
      </c>
      <c r="I504" s="9">
        <f>A504&amp;'x'&amp;B504</f>
        <v/>
      </c>
      <c r="J504" s="9">
        <f>IF(AND(G504&gt;0.9,G504&lt;1),"OK","CHECK")</f>
        <v/>
      </c>
    </row>
    <row r="505">
      <c r="A505" s="9" t="n">
        <v>36</v>
      </c>
      <c r="B505" s="9" t="n">
        <v>2</v>
      </c>
      <c r="C505" s="9" t="n">
        <v>34</v>
      </c>
      <c r="D505" s="9" t="n">
        <v>11</v>
      </c>
      <c r="E505" s="10">
        <f>COMBIN(A505,D505)/COMBIN(A505-B505,D505)</f>
        <v/>
      </c>
      <c r="F505" s="11">
        <f>ROUNDUP(E505*Controls!$B$4,4)</f>
        <v/>
      </c>
      <c r="G505" s="12">
        <f>F505/E505</f>
        <v/>
      </c>
      <c r="H505" s="10">
        <f>(A505-B505-(D505-1))/(A505-(D505-1))</f>
        <v/>
      </c>
      <c r="I505" s="9">
        <f>A505&amp;'x'&amp;B505</f>
        <v/>
      </c>
      <c r="J505" s="9">
        <f>IF(AND(G505&gt;0.9,G505&lt;1),"OK","CHECK")</f>
        <v/>
      </c>
    </row>
    <row r="506">
      <c r="A506" s="9" t="n">
        <v>36</v>
      </c>
      <c r="B506" s="9" t="n">
        <v>2</v>
      </c>
      <c r="C506" s="9" t="n">
        <v>34</v>
      </c>
      <c r="D506" s="9" t="n">
        <v>12</v>
      </c>
      <c r="E506" s="10">
        <f>COMBIN(A506,D506)/COMBIN(A506-B506,D506)</f>
        <v/>
      </c>
      <c r="F506" s="11">
        <f>ROUNDUP(E506*Controls!$B$4,4)</f>
        <v/>
      </c>
      <c r="G506" s="12">
        <f>F506/E506</f>
        <v/>
      </c>
      <c r="H506" s="10">
        <f>(A506-B506-(D506-1))/(A506-(D506-1))</f>
        <v/>
      </c>
      <c r="I506" s="9">
        <f>A506&amp;'x'&amp;B506</f>
        <v/>
      </c>
      <c r="J506" s="9">
        <f>IF(AND(G506&gt;0.9,G506&lt;1),"OK","CHECK")</f>
        <v/>
      </c>
    </row>
    <row r="507">
      <c r="A507" s="9" t="n">
        <v>36</v>
      </c>
      <c r="B507" s="9" t="n">
        <v>2</v>
      </c>
      <c r="C507" s="9" t="n">
        <v>34</v>
      </c>
      <c r="D507" s="9" t="n">
        <v>13</v>
      </c>
      <c r="E507" s="10">
        <f>COMBIN(A507,D507)/COMBIN(A507-B507,D507)</f>
        <v/>
      </c>
      <c r="F507" s="11">
        <f>ROUNDUP(E507*Controls!$B$4,4)</f>
        <v/>
      </c>
      <c r="G507" s="12">
        <f>F507/E507</f>
        <v/>
      </c>
      <c r="H507" s="10">
        <f>(A507-B507-(D507-1))/(A507-(D507-1))</f>
        <v/>
      </c>
      <c r="I507" s="9">
        <f>A507&amp;'x'&amp;B507</f>
        <v/>
      </c>
      <c r="J507" s="9">
        <f>IF(AND(G507&gt;0.9,G507&lt;1),"OK","CHECK")</f>
        <v/>
      </c>
    </row>
    <row r="508">
      <c r="A508" s="9" t="n">
        <v>36</v>
      </c>
      <c r="B508" s="9" t="n">
        <v>2</v>
      </c>
      <c r="C508" s="9" t="n">
        <v>34</v>
      </c>
      <c r="D508" s="9" t="n">
        <v>14</v>
      </c>
      <c r="E508" s="10">
        <f>COMBIN(A508,D508)/COMBIN(A508-B508,D508)</f>
        <v/>
      </c>
      <c r="F508" s="11">
        <f>ROUNDUP(E508*Controls!$B$4,4)</f>
        <v/>
      </c>
      <c r="G508" s="12">
        <f>F508/E508</f>
        <v/>
      </c>
      <c r="H508" s="10">
        <f>(A508-B508-(D508-1))/(A508-(D508-1))</f>
        <v/>
      </c>
      <c r="I508" s="9">
        <f>A508&amp;'x'&amp;B508</f>
        <v/>
      </c>
      <c r="J508" s="9">
        <f>IF(AND(G508&gt;0.9,G508&lt;1),"OK","CHECK")</f>
        <v/>
      </c>
    </row>
    <row r="509">
      <c r="A509" s="9" t="n">
        <v>36</v>
      </c>
      <c r="B509" s="9" t="n">
        <v>2</v>
      </c>
      <c r="C509" s="9" t="n">
        <v>34</v>
      </c>
      <c r="D509" s="9" t="n">
        <v>15</v>
      </c>
      <c r="E509" s="10">
        <f>COMBIN(A509,D509)/COMBIN(A509-B509,D509)</f>
        <v/>
      </c>
      <c r="F509" s="11">
        <f>ROUNDUP(E509*Controls!$B$4,4)</f>
        <v/>
      </c>
      <c r="G509" s="12">
        <f>F509/E509</f>
        <v/>
      </c>
      <c r="H509" s="10">
        <f>(A509-B509-(D509-1))/(A509-(D509-1))</f>
        <v/>
      </c>
      <c r="I509" s="9">
        <f>A509&amp;'x'&amp;B509</f>
        <v/>
      </c>
      <c r="J509" s="9">
        <f>IF(AND(G509&gt;0.9,G509&lt;1),"OK","CHECK")</f>
        <v/>
      </c>
    </row>
    <row r="510">
      <c r="A510" s="9" t="n">
        <v>36</v>
      </c>
      <c r="B510" s="9" t="n">
        <v>2</v>
      </c>
      <c r="C510" s="9" t="n">
        <v>34</v>
      </c>
      <c r="D510" s="9" t="n">
        <v>16</v>
      </c>
      <c r="E510" s="10">
        <f>COMBIN(A510,D510)/COMBIN(A510-B510,D510)</f>
        <v/>
      </c>
      <c r="F510" s="11">
        <f>ROUNDUP(E510*Controls!$B$4,4)</f>
        <v/>
      </c>
      <c r="G510" s="12">
        <f>F510/E510</f>
        <v/>
      </c>
      <c r="H510" s="10">
        <f>(A510-B510-(D510-1))/(A510-(D510-1))</f>
        <v/>
      </c>
      <c r="I510" s="9">
        <f>A510&amp;'x'&amp;B510</f>
        <v/>
      </c>
      <c r="J510" s="9">
        <f>IF(AND(G510&gt;0.9,G510&lt;1),"OK","CHECK")</f>
        <v/>
      </c>
    </row>
    <row r="511">
      <c r="A511" s="9" t="n">
        <v>36</v>
      </c>
      <c r="B511" s="9" t="n">
        <v>2</v>
      </c>
      <c r="C511" s="9" t="n">
        <v>34</v>
      </c>
      <c r="D511" s="9" t="n">
        <v>17</v>
      </c>
      <c r="E511" s="10">
        <f>COMBIN(A511,D511)/COMBIN(A511-B511,D511)</f>
        <v/>
      </c>
      <c r="F511" s="11">
        <f>ROUNDUP(E511*Controls!$B$4,4)</f>
        <v/>
      </c>
      <c r="G511" s="12">
        <f>F511/E511</f>
        <v/>
      </c>
      <c r="H511" s="10">
        <f>(A511-B511-(D511-1))/(A511-(D511-1))</f>
        <v/>
      </c>
      <c r="I511" s="9">
        <f>A511&amp;'x'&amp;B511</f>
        <v/>
      </c>
      <c r="J511" s="9">
        <f>IF(AND(G511&gt;0.9,G511&lt;1),"OK","CHECK")</f>
        <v/>
      </c>
    </row>
    <row r="512">
      <c r="A512" s="9" t="n">
        <v>36</v>
      </c>
      <c r="B512" s="9" t="n">
        <v>2</v>
      </c>
      <c r="C512" s="9" t="n">
        <v>34</v>
      </c>
      <c r="D512" s="9" t="n">
        <v>18</v>
      </c>
      <c r="E512" s="10">
        <f>COMBIN(A512,D512)/COMBIN(A512-B512,D512)</f>
        <v/>
      </c>
      <c r="F512" s="11">
        <f>ROUNDUP(E512*Controls!$B$4,4)</f>
        <v/>
      </c>
      <c r="G512" s="12">
        <f>F512/E512</f>
        <v/>
      </c>
      <c r="H512" s="10">
        <f>(A512-B512-(D512-1))/(A512-(D512-1))</f>
        <v/>
      </c>
      <c r="I512" s="9">
        <f>A512&amp;'x'&amp;B512</f>
        <v/>
      </c>
      <c r="J512" s="9">
        <f>IF(AND(G512&gt;0.9,G512&lt;1),"OK","CHECK")</f>
        <v/>
      </c>
    </row>
    <row r="513">
      <c r="A513" s="9" t="n">
        <v>36</v>
      </c>
      <c r="B513" s="9" t="n">
        <v>2</v>
      </c>
      <c r="C513" s="9" t="n">
        <v>34</v>
      </c>
      <c r="D513" s="9" t="n">
        <v>19</v>
      </c>
      <c r="E513" s="10">
        <f>COMBIN(A513,D513)/COMBIN(A513-B513,D513)</f>
        <v/>
      </c>
      <c r="F513" s="11">
        <f>ROUNDUP(E513*Controls!$B$4,4)</f>
        <v/>
      </c>
      <c r="G513" s="12">
        <f>F513/E513</f>
        <v/>
      </c>
      <c r="H513" s="10">
        <f>(A513-B513-(D513-1))/(A513-(D513-1))</f>
        <v/>
      </c>
      <c r="I513" s="9">
        <f>A513&amp;'x'&amp;B513</f>
        <v/>
      </c>
      <c r="J513" s="9">
        <f>IF(AND(G513&gt;0.9,G513&lt;1),"OK","CHECK")</f>
        <v/>
      </c>
    </row>
    <row r="514">
      <c r="A514" s="9" t="n">
        <v>36</v>
      </c>
      <c r="B514" s="9" t="n">
        <v>2</v>
      </c>
      <c r="C514" s="9" t="n">
        <v>34</v>
      </c>
      <c r="D514" s="9" t="n">
        <v>20</v>
      </c>
      <c r="E514" s="10">
        <f>COMBIN(A514,D514)/COMBIN(A514-B514,D514)</f>
        <v/>
      </c>
      <c r="F514" s="11">
        <f>ROUNDUP(E514*Controls!$B$4,4)</f>
        <v/>
      </c>
      <c r="G514" s="12">
        <f>F514/E514</f>
        <v/>
      </c>
      <c r="H514" s="10">
        <f>(A514-B514-(D514-1))/(A514-(D514-1))</f>
        <v/>
      </c>
      <c r="I514" s="9">
        <f>A514&amp;'x'&amp;B514</f>
        <v/>
      </c>
      <c r="J514" s="9">
        <f>IF(AND(G514&gt;0.9,G514&lt;1),"OK","CHECK")</f>
        <v/>
      </c>
    </row>
    <row r="515">
      <c r="A515" s="9" t="n">
        <v>36</v>
      </c>
      <c r="B515" s="9" t="n">
        <v>2</v>
      </c>
      <c r="C515" s="9" t="n">
        <v>34</v>
      </c>
      <c r="D515" s="9" t="n">
        <v>21</v>
      </c>
      <c r="E515" s="10">
        <f>COMBIN(A515,D515)/COMBIN(A515-B515,D515)</f>
        <v/>
      </c>
      <c r="F515" s="11">
        <f>ROUNDUP(E515*Controls!$B$4,4)</f>
        <v/>
      </c>
      <c r="G515" s="12">
        <f>F515/E515</f>
        <v/>
      </c>
      <c r="H515" s="10">
        <f>(A515-B515-(D515-1))/(A515-(D515-1))</f>
        <v/>
      </c>
      <c r="I515" s="9">
        <f>A515&amp;'x'&amp;B515</f>
        <v/>
      </c>
      <c r="J515" s="9">
        <f>IF(AND(G515&gt;0.9,G515&lt;1),"OK","CHECK")</f>
        <v/>
      </c>
    </row>
    <row r="516">
      <c r="A516" s="9" t="n">
        <v>36</v>
      </c>
      <c r="B516" s="9" t="n">
        <v>2</v>
      </c>
      <c r="C516" s="9" t="n">
        <v>34</v>
      </c>
      <c r="D516" s="9" t="n">
        <v>22</v>
      </c>
      <c r="E516" s="10">
        <f>COMBIN(A516,D516)/COMBIN(A516-B516,D516)</f>
        <v/>
      </c>
      <c r="F516" s="11">
        <f>ROUNDUP(E516*Controls!$B$4,4)</f>
        <v/>
      </c>
      <c r="G516" s="12">
        <f>F516/E516</f>
        <v/>
      </c>
      <c r="H516" s="10">
        <f>(A516-B516-(D516-1))/(A516-(D516-1))</f>
        <v/>
      </c>
      <c r="I516" s="9">
        <f>A516&amp;'x'&amp;B516</f>
        <v/>
      </c>
      <c r="J516" s="9">
        <f>IF(AND(G516&gt;0.9,G516&lt;1),"OK","CHECK")</f>
        <v/>
      </c>
    </row>
    <row r="517">
      <c r="A517" s="9" t="n">
        <v>36</v>
      </c>
      <c r="B517" s="9" t="n">
        <v>2</v>
      </c>
      <c r="C517" s="9" t="n">
        <v>34</v>
      </c>
      <c r="D517" s="9" t="n">
        <v>23</v>
      </c>
      <c r="E517" s="10">
        <f>COMBIN(A517,D517)/COMBIN(A517-B517,D517)</f>
        <v/>
      </c>
      <c r="F517" s="11">
        <f>ROUNDUP(E517*Controls!$B$4,4)</f>
        <v/>
      </c>
      <c r="G517" s="12">
        <f>F517/E517</f>
        <v/>
      </c>
      <c r="H517" s="10">
        <f>(A517-B517-(D517-1))/(A517-(D517-1))</f>
        <v/>
      </c>
      <c r="I517" s="9">
        <f>A517&amp;'x'&amp;B517</f>
        <v/>
      </c>
      <c r="J517" s="9">
        <f>IF(AND(G517&gt;0.9,G517&lt;1),"OK","CHECK")</f>
        <v/>
      </c>
    </row>
    <row r="518">
      <c r="A518" s="9" t="n">
        <v>36</v>
      </c>
      <c r="B518" s="9" t="n">
        <v>2</v>
      </c>
      <c r="C518" s="9" t="n">
        <v>34</v>
      </c>
      <c r="D518" s="9" t="n">
        <v>24</v>
      </c>
      <c r="E518" s="10">
        <f>COMBIN(A518,D518)/COMBIN(A518-B518,D518)</f>
        <v/>
      </c>
      <c r="F518" s="11">
        <f>ROUNDUP(E518*Controls!$B$4,4)</f>
        <v/>
      </c>
      <c r="G518" s="12">
        <f>F518/E518</f>
        <v/>
      </c>
      <c r="H518" s="10">
        <f>(A518-B518-(D518-1))/(A518-(D518-1))</f>
        <v/>
      </c>
      <c r="I518" s="9">
        <f>A518&amp;'x'&amp;B518</f>
        <v/>
      </c>
      <c r="J518" s="9">
        <f>IF(AND(G518&gt;0.9,G518&lt;1),"OK","CHECK")</f>
        <v/>
      </c>
    </row>
    <row r="519">
      <c r="A519" s="9" t="n">
        <v>36</v>
      </c>
      <c r="B519" s="9" t="n">
        <v>2</v>
      </c>
      <c r="C519" s="9" t="n">
        <v>34</v>
      </c>
      <c r="D519" s="9" t="n">
        <v>25</v>
      </c>
      <c r="E519" s="10">
        <f>COMBIN(A519,D519)/COMBIN(A519-B519,D519)</f>
        <v/>
      </c>
      <c r="F519" s="11">
        <f>ROUNDUP(E519*Controls!$B$4,4)</f>
        <v/>
      </c>
      <c r="G519" s="12">
        <f>F519/E519</f>
        <v/>
      </c>
      <c r="H519" s="10">
        <f>(A519-B519-(D519-1))/(A519-(D519-1))</f>
        <v/>
      </c>
      <c r="I519" s="9">
        <f>A519&amp;'x'&amp;B519</f>
        <v/>
      </c>
      <c r="J519" s="9">
        <f>IF(AND(G519&gt;0.9,G519&lt;1),"OK","CHECK")</f>
        <v/>
      </c>
    </row>
    <row r="520">
      <c r="A520" s="9" t="n">
        <v>36</v>
      </c>
      <c r="B520" s="9" t="n">
        <v>2</v>
      </c>
      <c r="C520" s="9" t="n">
        <v>34</v>
      </c>
      <c r="D520" s="9" t="n">
        <v>26</v>
      </c>
      <c r="E520" s="10">
        <f>COMBIN(A520,D520)/COMBIN(A520-B520,D520)</f>
        <v/>
      </c>
      <c r="F520" s="11">
        <f>ROUNDUP(E520*Controls!$B$4,4)</f>
        <v/>
      </c>
      <c r="G520" s="12">
        <f>F520/E520</f>
        <v/>
      </c>
      <c r="H520" s="10">
        <f>(A520-B520-(D520-1))/(A520-(D520-1))</f>
        <v/>
      </c>
      <c r="I520" s="9">
        <f>A520&amp;'x'&amp;B520</f>
        <v/>
      </c>
      <c r="J520" s="9">
        <f>IF(AND(G520&gt;0.9,G520&lt;1),"OK","CHECK")</f>
        <v/>
      </c>
    </row>
    <row r="521">
      <c r="A521" s="9" t="n">
        <v>36</v>
      </c>
      <c r="B521" s="9" t="n">
        <v>2</v>
      </c>
      <c r="C521" s="9" t="n">
        <v>34</v>
      </c>
      <c r="D521" s="9" t="n">
        <v>27</v>
      </c>
      <c r="E521" s="10">
        <f>COMBIN(A521,D521)/COMBIN(A521-B521,D521)</f>
        <v/>
      </c>
      <c r="F521" s="11">
        <f>ROUNDUP(E521*Controls!$B$4,4)</f>
        <v/>
      </c>
      <c r="G521" s="12">
        <f>F521/E521</f>
        <v/>
      </c>
      <c r="H521" s="10">
        <f>(A521-B521-(D521-1))/(A521-(D521-1))</f>
        <v/>
      </c>
      <c r="I521" s="9">
        <f>A521&amp;'x'&amp;B521</f>
        <v/>
      </c>
      <c r="J521" s="9">
        <f>IF(AND(G521&gt;0.9,G521&lt;1),"OK","CHECK")</f>
        <v/>
      </c>
    </row>
    <row r="522">
      <c r="A522" s="9" t="n">
        <v>36</v>
      </c>
      <c r="B522" s="9" t="n">
        <v>2</v>
      </c>
      <c r="C522" s="9" t="n">
        <v>34</v>
      </c>
      <c r="D522" s="9" t="n">
        <v>28</v>
      </c>
      <c r="E522" s="10">
        <f>COMBIN(A522,D522)/COMBIN(A522-B522,D522)</f>
        <v/>
      </c>
      <c r="F522" s="11">
        <f>ROUNDUP(E522*Controls!$B$4,4)</f>
        <v/>
      </c>
      <c r="G522" s="12">
        <f>F522/E522</f>
        <v/>
      </c>
      <c r="H522" s="10">
        <f>(A522-B522-(D522-1))/(A522-(D522-1))</f>
        <v/>
      </c>
      <c r="I522" s="9">
        <f>A522&amp;'x'&amp;B522</f>
        <v/>
      </c>
      <c r="J522" s="9">
        <f>IF(AND(G522&gt;0.9,G522&lt;1),"OK","CHECK")</f>
        <v/>
      </c>
    </row>
    <row r="523">
      <c r="A523" s="9" t="n">
        <v>36</v>
      </c>
      <c r="B523" s="9" t="n">
        <v>2</v>
      </c>
      <c r="C523" s="9" t="n">
        <v>34</v>
      </c>
      <c r="D523" s="9" t="n">
        <v>29</v>
      </c>
      <c r="E523" s="10">
        <f>COMBIN(A523,D523)/COMBIN(A523-B523,D523)</f>
        <v/>
      </c>
      <c r="F523" s="11">
        <f>ROUNDUP(E523*Controls!$B$4,4)</f>
        <v/>
      </c>
      <c r="G523" s="12">
        <f>F523/E523</f>
        <v/>
      </c>
      <c r="H523" s="10">
        <f>(A523-B523-(D523-1))/(A523-(D523-1))</f>
        <v/>
      </c>
      <c r="I523" s="9">
        <f>A523&amp;'x'&amp;B523</f>
        <v/>
      </c>
      <c r="J523" s="9">
        <f>IF(AND(G523&gt;0.9,G523&lt;1),"OK","CHECK")</f>
        <v/>
      </c>
    </row>
    <row r="524">
      <c r="A524" s="9" t="n">
        <v>36</v>
      </c>
      <c r="B524" s="9" t="n">
        <v>2</v>
      </c>
      <c r="C524" s="9" t="n">
        <v>34</v>
      </c>
      <c r="D524" s="9" t="n">
        <v>30</v>
      </c>
      <c r="E524" s="10">
        <f>COMBIN(A524,D524)/COMBIN(A524-B524,D524)</f>
        <v/>
      </c>
      <c r="F524" s="11">
        <f>ROUNDUP(E524*Controls!$B$4,4)</f>
        <v/>
      </c>
      <c r="G524" s="12">
        <f>F524/E524</f>
        <v/>
      </c>
      <c r="H524" s="10">
        <f>(A524-B524-(D524-1))/(A524-(D524-1))</f>
        <v/>
      </c>
      <c r="I524" s="9">
        <f>A524&amp;'x'&amp;B524</f>
        <v/>
      </c>
      <c r="J524" s="9">
        <f>IF(AND(G524&gt;0.9,G524&lt;1),"OK","CHECK")</f>
        <v/>
      </c>
    </row>
    <row r="525">
      <c r="A525" s="9" t="n">
        <v>36</v>
      </c>
      <c r="B525" s="9" t="n">
        <v>2</v>
      </c>
      <c r="C525" s="9" t="n">
        <v>34</v>
      </c>
      <c r="D525" s="9" t="n">
        <v>31</v>
      </c>
      <c r="E525" s="10">
        <f>COMBIN(A525,D525)/COMBIN(A525-B525,D525)</f>
        <v/>
      </c>
      <c r="F525" s="11">
        <f>ROUNDUP(E525*Controls!$B$4,4)</f>
        <v/>
      </c>
      <c r="G525" s="12">
        <f>F525/E525</f>
        <v/>
      </c>
      <c r="H525" s="10">
        <f>(A525-B525-(D525-1))/(A525-(D525-1))</f>
        <v/>
      </c>
      <c r="I525" s="9">
        <f>A525&amp;'x'&amp;B525</f>
        <v/>
      </c>
      <c r="J525" s="9">
        <f>IF(AND(G525&gt;0.9,G525&lt;1),"OK","CHECK")</f>
        <v/>
      </c>
    </row>
    <row r="526">
      <c r="A526" s="9" t="n">
        <v>36</v>
      </c>
      <c r="B526" s="9" t="n">
        <v>2</v>
      </c>
      <c r="C526" s="9" t="n">
        <v>34</v>
      </c>
      <c r="D526" s="9" t="n">
        <v>32</v>
      </c>
      <c r="E526" s="10">
        <f>COMBIN(A526,D526)/COMBIN(A526-B526,D526)</f>
        <v/>
      </c>
      <c r="F526" s="11">
        <f>ROUNDUP(E526*Controls!$B$4,4)</f>
        <v/>
      </c>
      <c r="G526" s="12">
        <f>F526/E526</f>
        <v/>
      </c>
      <c r="H526" s="10">
        <f>(A526-B526-(D526-1))/(A526-(D526-1))</f>
        <v/>
      </c>
      <c r="I526" s="9">
        <f>A526&amp;'x'&amp;B526</f>
        <v/>
      </c>
      <c r="J526" s="9">
        <f>IF(AND(G526&gt;0.9,G526&lt;1),"OK","CHECK")</f>
        <v/>
      </c>
    </row>
    <row r="527">
      <c r="A527" s="9" t="n">
        <v>36</v>
      </c>
      <c r="B527" s="9" t="n">
        <v>2</v>
      </c>
      <c r="C527" s="9" t="n">
        <v>34</v>
      </c>
      <c r="D527" s="9" t="n">
        <v>33</v>
      </c>
      <c r="E527" s="10">
        <f>COMBIN(A527,D527)/COMBIN(A527-B527,D527)</f>
        <v/>
      </c>
      <c r="F527" s="11">
        <f>ROUNDUP(E527*Controls!$B$4,4)</f>
        <v/>
      </c>
      <c r="G527" s="12">
        <f>F527/E527</f>
        <v/>
      </c>
      <c r="H527" s="10">
        <f>(A527-B527-(D527-1))/(A527-(D527-1))</f>
        <v/>
      </c>
      <c r="I527" s="9">
        <f>A527&amp;'x'&amp;B527</f>
        <v/>
      </c>
      <c r="J527" s="9">
        <f>IF(AND(G527&gt;0.9,G527&lt;1),"OK","CHECK")</f>
        <v/>
      </c>
    </row>
    <row r="528">
      <c r="A528" s="9" t="n">
        <v>36</v>
      </c>
      <c r="B528" s="9" t="n">
        <v>2</v>
      </c>
      <c r="C528" s="9" t="n">
        <v>34</v>
      </c>
      <c r="D528" s="9" t="n">
        <v>34</v>
      </c>
      <c r="E528" s="10">
        <f>COMBIN(A528,D528)/COMBIN(A528-B528,D528)</f>
        <v/>
      </c>
      <c r="F528" s="11">
        <f>ROUNDUP(E528*Controls!$B$4,4)</f>
        <v/>
      </c>
      <c r="G528" s="12">
        <f>F528/E528</f>
        <v/>
      </c>
      <c r="H528" s="10">
        <f>(A528-B528-(D528-1))/(A528-(D528-1))</f>
        <v/>
      </c>
      <c r="I528" s="9">
        <f>A528&amp;'x'&amp;B528</f>
        <v/>
      </c>
      <c r="J528" s="9">
        <f>IF(AND(G528&gt;0.9,G528&lt;1),"OK","CHECK")</f>
        <v/>
      </c>
    </row>
    <row r="529">
      <c r="A529" s="9" t="n">
        <v>36</v>
      </c>
      <c r="B529" s="9" t="n">
        <v>3</v>
      </c>
      <c r="C529" s="9" t="n">
        <v>33</v>
      </c>
      <c r="D529" s="9" t="n">
        <v>1</v>
      </c>
      <c r="E529" s="10">
        <f>COMBIN(A529,D529)/COMBIN(A529-B529,D529)</f>
        <v/>
      </c>
      <c r="F529" s="11">
        <f>ROUNDUP(E529*Controls!$B$4,4)</f>
        <v/>
      </c>
      <c r="G529" s="12">
        <f>F529/E529</f>
        <v/>
      </c>
      <c r="H529" s="10">
        <f>(A529-B529-(D529-1))/(A529-(D529-1))</f>
        <v/>
      </c>
      <c r="I529" s="9">
        <f>A529&amp;'x'&amp;B529</f>
        <v/>
      </c>
      <c r="J529" s="9">
        <f>IF(AND(G529&gt;0.9,G529&lt;1),"OK","CHECK")</f>
        <v/>
      </c>
    </row>
    <row r="530">
      <c r="A530" s="9" t="n">
        <v>36</v>
      </c>
      <c r="B530" s="9" t="n">
        <v>3</v>
      </c>
      <c r="C530" s="9" t="n">
        <v>33</v>
      </c>
      <c r="D530" s="9" t="n">
        <v>2</v>
      </c>
      <c r="E530" s="10">
        <f>COMBIN(A530,D530)/COMBIN(A530-B530,D530)</f>
        <v/>
      </c>
      <c r="F530" s="11">
        <f>ROUNDUP(E530*Controls!$B$4,4)</f>
        <v/>
      </c>
      <c r="G530" s="12">
        <f>F530/E530</f>
        <v/>
      </c>
      <c r="H530" s="10">
        <f>(A530-B530-(D530-1))/(A530-(D530-1))</f>
        <v/>
      </c>
      <c r="I530" s="9">
        <f>A530&amp;'x'&amp;B530</f>
        <v/>
      </c>
      <c r="J530" s="9">
        <f>IF(AND(G530&gt;0.9,G530&lt;1),"OK","CHECK")</f>
        <v/>
      </c>
    </row>
    <row r="531">
      <c r="A531" s="9" t="n">
        <v>36</v>
      </c>
      <c r="B531" s="9" t="n">
        <v>3</v>
      </c>
      <c r="C531" s="9" t="n">
        <v>33</v>
      </c>
      <c r="D531" s="9" t="n">
        <v>3</v>
      </c>
      <c r="E531" s="10">
        <f>COMBIN(A531,D531)/COMBIN(A531-B531,D531)</f>
        <v/>
      </c>
      <c r="F531" s="11">
        <f>ROUNDUP(E531*Controls!$B$4,4)</f>
        <v/>
      </c>
      <c r="G531" s="12">
        <f>F531/E531</f>
        <v/>
      </c>
      <c r="H531" s="10">
        <f>(A531-B531-(D531-1))/(A531-(D531-1))</f>
        <v/>
      </c>
      <c r="I531" s="9">
        <f>A531&amp;'x'&amp;B531</f>
        <v/>
      </c>
      <c r="J531" s="9">
        <f>IF(AND(G531&gt;0.9,G531&lt;1),"OK","CHECK")</f>
        <v/>
      </c>
    </row>
    <row r="532">
      <c r="A532" s="9" t="n">
        <v>36</v>
      </c>
      <c r="B532" s="9" t="n">
        <v>3</v>
      </c>
      <c r="C532" s="9" t="n">
        <v>33</v>
      </c>
      <c r="D532" s="9" t="n">
        <v>4</v>
      </c>
      <c r="E532" s="10">
        <f>COMBIN(A532,D532)/COMBIN(A532-B532,D532)</f>
        <v/>
      </c>
      <c r="F532" s="11">
        <f>ROUNDUP(E532*Controls!$B$4,4)</f>
        <v/>
      </c>
      <c r="G532" s="12">
        <f>F532/E532</f>
        <v/>
      </c>
      <c r="H532" s="10">
        <f>(A532-B532-(D532-1))/(A532-(D532-1))</f>
        <v/>
      </c>
      <c r="I532" s="9">
        <f>A532&amp;'x'&amp;B532</f>
        <v/>
      </c>
      <c r="J532" s="9">
        <f>IF(AND(G532&gt;0.9,G532&lt;1),"OK","CHECK")</f>
        <v/>
      </c>
    </row>
    <row r="533">
      <c r="A533" s="9" t="n">
        <v>36</v>
      </c>
      <c r="B533" s="9" t="n">
        <v>3</v>
      </c>
      <c r="C533" s="9" t="n">
        <v>33</v>
      </c>
      <c r="D533" s="9" t="n">
        <v>5</v>
      </c>
      <c r="E533" s="10">
        <f>COMBIN(A533,D533)/COMBIN(A533-B533,D533)</f>
        <v/>
      </c>
      <c r="F533" s="11">
        <f>ROUNDUP(E533*Controls!$B$4,4)</f>
        <v/>
      </c>
      <c r="G533" s="12">
        <f>F533/E533</f>
        <v/>
      </c>
      <c r="H533" s="10">
        <f>(A533-B533-(D533-1))/(A533-(D533-1))</f>
        <v/>
      </c>
      <c r="I533" s="9">
        <f>A533&amp;'x'&amp;B533</f>
        <v/>
      </c>
      <c r="J533" s="9">
        <f>IF(AND(G533&gt;0.9,G533&lt;1),"OK","CHECK")</f>
        <v/>
      </c>
    </row>
    <row r="534">
      <c r="A534" s="9" t="n">
        <v>36</v>
      </c>
      <c r="B534" s="9" t="n">
        <v>3</v>
      </c>
      <c r="C534" s="9" t="n">
        <v>33</v>
      </c>
      <c r="D534" s="9" t="n">
        <v>6</v>
      </c>
      <c r="E534" s="10">
        <f>COMBIN(A534,D534)/COMBIN(A534-B534,D534)</f>
        <v/>
      </c>
      <c r="F534" s="11">
        <f>ROUNDUP(E534*Controls!$B$4,4)</f>
        <v/>
      </c>
      <c r="G534" s="12">
        <f>F534/E534</f>
        <v/>
      </c>
      <c r="H534" s="10">
        <f>(A534-B534-(D534-1))/(A534-(D534-1))</f>
        <v/>
      </c>
      <c r="I534" s="9">
        <f>A534&amp;'x'&amp;B534</f>
        <v/>
      </c>
      <c r="J534" s="9">
        <f>IF(AND(G534&gt;0.9,G534&lt;1),"OK","CHECK")</f>
        <v/>
      </c>
    </row>
    <row r="535">
      <c r="A535" s="9" t="n">
        <v>36</v>
      </c>
      <c r="B535" s="9" t="n">
        <v>3</v>
      </c>
      <c r="C535" s="9" t="n">
        <v>33</v>
      </c>
      <c r="D535" s="9" t="n">
        <v>7</v>
      </c>
      <c r="E535" s="10">
        <f>COMBIN(A535,D535)/COMBIN(A535-B535,D535)</f>
        <v/>
      </c>
      <c r="F535" s="11">
        <f>ROUNDUP(E535*Controls!$B$4,4)</f>
        <v/>
      </c>
      <c r="G535" s="12">
        <f>F535/E535</f>
        <v/>
      </c>
      <c r="H535" s="10">
        <f>(A535-B535-(D535-1))/(A535-(D535-1))</f>
        <v/>
      </c>
      <c r="I535" s="9">
        <f>A535&amp;'x'&amp;B535</f>
        <v/>
      </c>
      <c r="J535" s="9">
        <f>IF(AND(G535&gt;0.9,G535&lt;1),"OK","CHECK")</f>
        <v/>
      </c>
    </row>
    <row r="536">
      <c r="A536" s="9" t="n">
        <v>36</v>
      </c>
      <c r="B536" s="9" t="n">
        <v>3</v>
      </c>
      <c r="C536" s="9" t="n">
        <v>33</v>
      </c>
      <c r="D536" s="9" t="n">
        <v>8</v>
      </c>
      <c r="E536" s="10">
        <f>COMBIN(A536,D536)/COMBIN(A536-B536,D536)</f>
        <v/>
      </c>
      <c r="F536" s="11">
        <f>ROUNDUP(E536*Controls!$B$4,4)</f>
        <v/>
      </c>
      <c r="G536" s="12">
        <f>F536/E536</f>
        <v/>
      </c>
      <c r="H536" s="10">
        <f>(A536-B536-(D536-1))/(A536-(D536-1))</f>
        <v/>
      </c>
      <c r="I536" s="9">
        <f>A536&amp;'x'&amp;B536</f>
        <v/>
      </c>
      <c r="J536" s="9">
        <f>IF(AND(G536&gt;0.9,G536&lt;1),"OK","CHECK")</f>
        <v/>
      </c>
    </row>
    <row r="537">
      <c r="A537" s="9" t="n">
        <v>36</v>
      </c>
      <c r="B537" s="9" t="n">
        <v>3</v>
      </c>
      <c r="C537" s="9" t="n">
        <v>33</v>
      </c>
      <c r="D537" s="9" t="n">
        <v>9</v>
      </c>
      <c r="E537" s="10">
        <f>COMBIN(A537,D537)/COMBIN(A537-B537,D537)</f>
        <v/>
      </c>
      <c r="F537" s="11">
        <f>ROUNDUP(E537*Controls!$B$4,4)</f>
        <v/>
      </c>
      <c r="G537" s="12">
        <f>F537/E537</f>
        <v/>
      </c>
      <c r="H537" s="10">
        <f>(A537-B537-(D537-1))/(A537-(D537-1))</f>
        <v/>
      </c>
      <c r="I537" s="9">
        <f>A537&amp;'x'&amp;B537</f>
        <v/>
      </c>
      <c r="J537" s="9">
        <f>IF(AND(G537&gt;0.9,G537&lt;1),"OK","CHECK")</f>
        <v/>
      </c>
    </row>
    <row r="538">
      <c r="A538" s="9" t="n">
        <v>36</v>
      </c>
      <c r="B538" s="9" t="n">
        <v>3</v>
      </c>
      <c r="C538" s="9" t="n">
        <v>33</v>
      </c>
      <c r="D538" s="9" t="n">
        <v>10</v>
      </c>
      <c r="E538" s="10">
        <f>COMBIN(A538,D538)/COMBIN(A538-B538,D538)</f>
        <v/>
      </c>
      <c r="F538" s="11">
        <f>ROUNDUP(E538*Controls!$B$4,4)</f>
        <v/>
      </c>
      <c r="G538" s="12">
        <f>F538/E538</f>
        <v/>
      </c>
      <c r="H538" s="10">
        <f>(A538-B538-(D538-1))/(A538-(D538-1))</f>
        <v/>
      </c>
      <c r="I538" s="9">
        <f>A538&amp;'x'&amp;B538</f>
        <v/>
      </c>
      <c r="J538" s="9">
        <f>IF(AND(G538&gt;0.9,G538&lt;1),"OK","CHECK")</f>
        <v/>
      </c>
    </row>
    <row r="539">
      <c r="A539" s="9" t="n">
        <v>36</v>
      </c>
      <c r="B539" s="9" t="n">
        <v>3</v>
      </c>
      <c r="C539" s="9" t="n">
        <v>33</v>
      </c>
      <c r="D539" s="9" t="n">
        <v>11</v>
      </c>
      <c r="E539" s="10">
        <f>COMBIN(A539,D539)/COMBIN(A539-B539,D539)</f>
        <v/>
      </c>
      <c r="F539" s="11">
        <f>ROUNDUP(E539*Controls!$B$4,4)</f>
        <v/>
      </c>
      <c r="G539" s="12">
        <f>F539/E539</f>
        <v/>
      </c>
      <c r="H539" s="10">
        <f>(A539-B539-(D539-1))/(A539-(D539-1))</f>
        <v/>
      </c>
      <c r="I539" s="9">
        <f>A539&amp;'x'&amp;B539</f>
        <v/>
      </c>
      <c r="J539" s="9">
        <f>IF(AND(G539&gt;0.9,G539&lt;1),"OK","CHECK")</f>
        <v/>
      </c>
    </row>
    <row r="540">
      <c r="A540" s="9" t="n">
        <v>36</v>
      </c>
      <c r="B540" s="9" t="n">
        <v>3</v>
      </c>
      <c r="C540" s="9" t="n">
        <v>33</v>
      </c>
      <c r="D540" s="9" t="n">
        <v>12</v>
      </c>
      <c r="E540" s="10">
        <f>COMBIN(A540,D540)/COMBIN(A540-B540,D540)</f>
        <v/>
      </c>
      <c r="F540" s="11">
        <f>ROUNDUP(E540*Controls!$B$4,4)</f>
        <v/>
      </c>
      <c r="G540" s="12">
        <f>F540/E540</f>
        <v/>
      </c>
      <c r="H540" s="10">
        <f>(A540-B540-(D540-1))/(A540-(D540-1))</f>
        <v/>
      </c>
      <c r="I540" s="9">
        <f>A540&amp;'x'&amp;B540</f>
        <v/>
      </c>
      <c r="J540" s="9">
        <f>IF(AND(G540&gt;0.9,G540&lt;1),"OK","CHECK")</f>
        <v/>
      </c>
    </row>
    <row r="541">
      <c r="A541" s="9" t="n">
        <v>36</v>
      </c>
      <c r="B541" s="9" t="n">
        <v>3</v>
      </c>
      <c r="C541" s="9" t="n">
        <v>33</v>
      </c>
      <c r="D541" s="9" t="n">
        <v>13</v>
      </c>
      <c r="E541" s="10">
        <f>COMBIN(A541,D541)/COMBIN(A541-B541,D541)</f>
        <v/>
      </c>
      <c r="F541" s="11">
        <f>ROUNDUP(E541*Controls!$B$4,4)</f>
        <v/>
      </c>
      <c r="G541" s="12">
        <f>F541/E541</f>
        <v/>
      </c>
      <c r="H541" s="10">
        <f>(A541-B541-(D541-1))/(A541-(D541-1))</f>
        <v/>
      </c>
      <c r="I541" s="9">
        <f>A541&amp;'x'&amp;B541</f>
        <v/>
      </c>
      <c r="J541" s="9">
        <f>IF(AND(G541&gt;0.9,G541&lt;1),"OK","CHECK")</f>
        <v/>
      </c>
    </row>
    <row r="542">
      <c r="A542" s="9" t="n">
        <v>36</v>
      </c>
      <c r="B542" s="9" t="n">
        <v>3</v>
      </c>
      <c r="C542" s="9" t="n">
        <v>33</v>
      </c>
      <c r="D542" s="9" t="n">
        <v>14</v>
      </c>
      <c r="E542" s="10">
        <f>COMBIN(A542,D542)/COMBIN(A542-B542,D542)</f>
        <v/>
      </c>
      <c r="F542" s="11">
        <f>ROUNDUP(E542*Controls!$B$4,4)</f>
        <v/>
      </c>
      <c r="G542" s="12">
        <f>F542/E542</f>
        <v/>
      </c>
      <c r="H542" s="10">
        <f>(A542-B542-(D542-1))/(A542-(D542-1))</f>
        <v/>
      </c>
      <c r="I542" s="9">
        <f>A542&amp;'x'&amp;B542</f>
        <v/>
      </c>
      <c r="J542" s="9">
        <f>IF(AND(G542&gt;0.9,G542&lt;1),"OK","CHECK")</f>
        <v/>
      </c>
    </row>
    <row r="543">
      <c r="A543" s="9" t="n">
        <v>36</v>
      </c>
      <c r="B543" s="9" t="n">
        <v>3</v>
      </c>
      <c r="C543" s="9" t="n">
        <v>33</v>
      </c>
      <c r="D543" s="9" t="n">
        <v>15</v>
      </c>
      <c r="E543" s="10">
        <f>COMBIN(A543,D543)/COMBIN(A543-B543,D543)</f>
        <v/>
      </c>
      <c r="F543" s="11">
        <f>ROUNDUP(E543*Controls!$B$4,4)</f>
        <v/>
      </c>
      <c r="G543" s="12">
        <f>F543/E543</f>
        <v/>
      </c>
      <c r="H543" s="10">
        <f>(A543-B543-(D543-1))/(A543-(D543-1))</f>
        <v/>
      </c>
      <c r="I543" s="9">
        <f>A543&amp;'x'&amp;B543</f>
        <v/>
      </c>
      <c r="J543" s="9">
        <f>IF(AND(G543&gt;0.9,G543&lt;1),"OK","CHECK")</f>
        <v/>
      </c>
    </row>
    <row r="544">
      <c r="A544" s="9" t="n">
        <v>36</v>
      </c>
      <c r="B544" s="9" t="n">
        <v>3</v>
      </c>
      <c r="C544" s="9" t="n">
        <v>33</v>
      </c>
      <c r="D544" s="9" t="n">
        <v>16</v>
      </c>
      <c r="E544" s="10">
        <f>COMBIN(A544,D544)/COMBIN(A544-B544,D544)</f>
        <v/>
      </c>
      <c r="F544" s="11">
        <f>ROUNDUP(E544*Controls!$B$4,4)</f>
        <v/>
      </c>
      <c r="G544" s="12">
        <f>F544/E544</f>
        <v/>
      </c>
      <c r="H544" s="10">
        <f>(A544-B544-(D544-1))/(A544-(D544-1))</f>
        <v/>
      </c>
      <c r="I544" s="9">
        <f>A544&amp;'x'&amp;B544</f>
        <v/>
      </c>
      <c r="J544" s="9">
        <f>IF(AND(G544&gt;0.9,G544&lt;1),"OK","CHECK")</f>
        <v/>
      </c>
    </row>
    <row r="545">
      <c r="A545" s="9" t="n">
        <v>36</v>
      </c>
      <c r="B545" s="9" t="n">
        <v>3</v>
      </c>
      <c r="C545" s="9" t="n">
        <v>33</v>
      </c>
      <c r="D545" s="9" t="n">
        <v>17</v>
      </c>
      <c r="E545" s="10">
        <f>COMBIN(A545,D545)/COMBIN(A545-B545,D545)</f>
        <v/>
      </c>
      <c r="F545" s="11">
        <f>ROUNDUP(E545*Controls!$B$4,4)</f>
        <v/>
      </c>
      <c r="G545" s="12">
        <f>F545/E545</f>
        <v/>
      </c>
      <c r="H545" s="10">
        <f>(A545-B545-(D545-1))/(A545-(D545-1))</f>
        <v/>
      </c>
      <c r="I545" s="9">
        <f>A545&amp;'x'&amp;B545</f>
        <v/>
      </c>
      <c r="J545" s="9">
        <f>IF(AND(G545&gt;0.9,G545&lt;1),"OK","CHECK")</f>
        <v/>
      </c>
    </row>
    <row r="546">
      <c r="A546" s="9" t="n">
        <v>36</v>
      </c>
      <c r="B546" s="9" t="n">
        <v>3</v>
      </c>
      <c r="C546" s="9" t="n">
        <v>33</v>
      </c>
      <c r="D546" s="9" t="n">
        <v>18</v>
      </c>
      <c r="E546" s="10">
        <f>COMBIN(A546,D546)/COMBIN(A546-B546,D546)</f>
        <v/>
      </c>
      <c r="F546" s="11">
        <f>ROUNDUP(E546*Controls!$B$4,4)</f>
        <v/>
      </c>
      <c r="G546" s="12">
        <f>F546/E546</f>
        <v/>
      </c>
      <c r="H546" s="10">
        <f>(A546-B546-(D546-1))/(A546-(D546-1))</f>
        <v/>
      </c>
      <c r="I546" s="9">
        <f>A546&amp;'x'&amp;B546</f>
        <v/>
      </c>
      <c r="J546" s="9">
        <f>IF(AND(G546&gt;0.9,G546&lt;1),"OK","CHECK")</f>
        <v/>
      </c>
    </row>
    <row r="547">
      <c r="A547" s="9" t="n">
        <v>36</v>
      </c>
      <c r="B547" s="9" t="n">
        <v>3</v>
      </c>
      <c r="C547" s="9" t="n">
        <v>33</v>
      </c>
      <c r="D547" s="9" t="n">
        <v>19</v>
      </c>
      <c r="E547" s="10">
        <f>COMBIN(A547,D547)/COMBIN(A547-B547,D547)</f>
        <v/>
      </c>
      <c r="F547" s="11">
        <f>ROUNDUP(E547*Controls!$B$4,4)</f>
        <v/>
      </c>
      <c r="G547" s="12">
        <f>F547/E547</f>
        <v/>
      </c>
      <c r="H547" s="10">
        <f>(A547-B547-(D547-1))/(A547-(D547-1))</f>
        <v/>
      </c>
      <c r="I547" s="9">
        <f>A547&amp;'x'&amp;B547</f>
        <v/>
      </c>
      <c r="J547" s="9">
        <f>IF(AND(G547&gt;0.9,G547&lt;1),"OK","CHECK")</f>
        <v/>
      </c>
    </row>
    <row r="548">
      <c r="A548" s="9" t="n">
        <v>36</v>
      </c>
      <c r="B548" s="9" t="n">
        <v>3</v>
      </c>
      <c r="C548" s="9" t="n">
        <v>33</v>
      </c>
      <c r="D548" s="9" t="n">
        <v>20</v>
      </c>
      <c r="E548" s="10">
        <f>COMBIN(A548,D548)/COMBIN(A548-B548,D548)</f>
        <v/>
      </c>
      <c r="F548" s="11">
        <f>ROUNDUP(E548*Controls!$B$4,4)</f>
        <v/>
      </c>
      <c r="G548" s="12">
        <f>F548/E548</f>
        <v/>
      </c>
      <c r="H548" s="10">
        <f>(A548-B548-(D548-1))/(A548-(D548-1))</f>
        <v/>
      </c>
      <c r="I548" s="9">
        <f>A548&amp;'x'&amp;B548</f>
        <v/>
      </c>
      <c r="J548" s="9">
        <f>IF(AND(G548&gt;0.9,G548&lt;1),"OK","CHECK")</f>
        <v/>
      </c>
    </row>
    <row r="549">
      <c r="A549" s="9" t="n">
        <v>36</v>
      </c>
      <c r="B549" s="9" t="n">
        <v>3</v>
      </c>
      <c r="C549" s="9" t="n">
        <v>33</v>
      </c>
      <c r="D549" s="9" t="n">
        <v>21</v>
      </c>
      <c r="E549" s="10">
        <f>COMBIN(A549,D549)/COMBIN(A549-B549,D549)</f>
        <v/>
      </c>
      <c r="F549" s="11">
        <f>ROUNDUP(E549*Controls!$B$4,4)</f>
        <v/>
      </c>
      <c r="G549" s="12">
        <f>F549/E549</f>
        <v/>
      </c>
      <c r="H549" s="10">
        <f>(A549-B549-(D549-1))/(A549-(D549-1))</f>
        <v/>
      </c>
      <c r="I549" s="9">
        <f>A549&amp;'x'&amp;B549</f>
        <v/>
      </c>
      <c r="J549" s="9">
        <f>IF(AND(G549&gt;0.9,G549&lt;1),"OK","CHECK")</f>
        <v/>
      </c>
    </row>
    <row r="550">
      <c r="A550" s="9" t="n">
        <v>36</v>
      </c>
      <c r="B550" s="9" t="n">
        <v>3</v>
      </c>
      <c r="C550" s="9" t="n">
        <v>33</v>
      </c>
      <c r="D550" s="9" t="n">
        <v>22</v>
      </c>
      <c r="E550" s="10">
        <f>COMBIN(A550,D550)/COMBIN(A550-B550,D550)</f>
        <v/>
      </c>
      <c r="F550" s="11">
        <f>ROUNDUP(E550*Controls!$B$4,4)</f>
        <v/>
      </c>
      <c r="G550" s="12">
        <f>F550/E550</f>
        <v/>
      </c>
      <c r="H550" s="10">
        <f>(A550-B550-(D550-1))/(A550-(D550-1))</f>
        <v/>
      </c>
      <c r="I550" s="9">
        <f>A550&amp;'x'&amp;B550</f>
        <v/>
      </c>
      <c r="J550" s="9">
        <f>IF(AND(G550&gt;0.9,G550&lt;1),"OK","CHECK")</f>
        <v/>
      </c>
    </row>
    <row r="551">
      <c r="A551" s="9" t="n">
        <v>36</v>
      </c>
      <c r="B551" s="9" t="n">
        <v>3</v>
      </c>
      <c r="C551" s="9" t="n">
        <v>33</v>
      </c>
      <c r="D551" s="9" t="n">
        <v>23</v>
      </c>
      <c r="E551" s="10">
        <f>COMBIN(A551,D551)/COMBIN(A551-B551,D551)</f>
        <v/>
      </c>
      <c r="F551" s="11">
        <f>ROUNDUP(E551*Controls!$B$4,4)</f>
        <v/>
      </c>
      <c r="G551" s="12">
        <f>F551/E551</f>
        <v/>
      </c>
      <c r="H551" s="10">
        <f>(A551-B551-(D551-1))/(A551-(D551-1))</f>
        <v/>
      </c>
      <c r="I551" s="9">
        <f>A551&amp;'x'&amp;B551</f>
        <v/>
      </c>
      <c r="J551" s="9">
        <f>IF(AND(G551&gt;0.9,G551&lt;1),"OK","CHECK")</f>
        <v/>
      </c>
    </row>
    <row r="552">
      <c r="A552" s="9" t="n">
        <v>36</v>
      </c>
      <c r="B552" s="9" t="n">
        <v>3</v>
      </c>
      <c r="C552" s="9" t="n">
        <v>33</v>
      </c>
      <c r="D552" s="9" t="n">
        <v>24</v>
      </c>
      <c r="E552" s="10">
        <f>COMBIN(A552,D552)/COMBIN(A552-B552,D552)</f>
        <v/>
      </c>
      <c r="F552" s="11">
        <f>ROUNDUP(E552*Controls!$B$4,4)</f>
        <v/>
      </c>
      <c r="G552" s="12">
        <f>F552/E552</f>
        <v/>
      </c>
      <c r="H552" s="10">
        <f>(A552-B552-(D552-1))/(A552-(D552-1))</f>
        <v/>
      </c>
      <c r="I552" s="9">
        <f>A552&amp;'x'&amp;B552</f>
        <v/>
      </c>
      <c r="J552" s="9">
        <f>IF(AND(G552&gt;0.9,G552&lt;1),"OK","CHECK")</f>
        <v/>
      </c>
    </row>
    <row r="553">
      <c r="A553" s="9" t="n">
        <v>36</v>
      </c>
      <c r="B553" s="9" t="n">
        <v>3</v>
      </c>
      <c r="C553" s="9" t="n">
        <v>33</v>
      </c>
      <c r="D553" s="9" t="n">
        <v>25</v>
      </c>
      <c r="E553" s="10">
        <f>COMBIN(A553,D553)/COMBIN(A553-B553,D553)</f>
        <v/>
      </c>
      <c r="F553" s="11">
        <f>ROUNDUP(E553*Controls!$B$4,4)</f>
        <v/>
      </c>
      <c r="G553" s="12">
        <f>F553/E553</f>
        <v/>
      </c>
      <c r="H553" s="10">
        <f>(A553-B553-(D553-1))/(A553-(D553-1))</f>
        <v/>
      </c>
      <c r="I553" s="9">
        <f>A553&amp;'x'&amp;B553</f>
        <v/>
      </c>
      <c r="J553" s="9">
        <f>IF(AND(G553&gt;0.9,G553&lt;1),"OK","CHECK")</f>
        <v/>
      </c>
    </row>
    <row r="554">
      <c r="A554" s="9" t="n">
        <v>36</v>
      </c>
      <c r="B554" s="9" t="n">
        <v>3</v>
      </c>
      <c r="C554" s="9" t="n">
        <v>33</v>
      </c>
      <c r="D554" s="9" t="n">
        <v>26</v>
      </c>
      <c r="E554" s="10">
        <f>COMBIN(A554,D554)/COMBIN(A554-B554,D554)</f>
        <v/>
      </c>
      <c r="F554" s="11">
        <f>ROUNDUP(E554*Controls!$B$4,4)</f>
        <v/>
      </c>
      <c r="G554" s="12">
        <f>F554/E554</f>
        <v/>
      </c>
      <c r="H554" s="10">
        <f>(A554-B554-(D554-1))/(A554-(D554-1))</f>
        <v/>
      </c>
      <c r="I554" s="9">
        <f>A554&amp;'x'&amp;B554</f>
        <v/>
      </c>
      <c r="J554" s="9">
        <f>IF(AND(G554&gt;0.9,G554&lt;1),"OK","CHECK")</f>
        <v/>
      </c>
    </row>
    <row r="555">
      <c r="A555" s="9" t="n">
        <v>36</v>
      </c>
      <c r="B555" s="9" t="n">
        <v>3</v>
      </c>
      <c r="C555" s="9" t="n">
        <v>33</v>
      </c>
      <c r="D555" s="9" t="n">
        <v>27</v>
      </c>
      <c r="E555" s="10">
        <f>COMBIN(A555,D555)/COMBIN(A555-B555,D555)</f>
        <v/>
      </c>
      <c r="F555" s="11">
        <f>ROUNDUP(E555*Controls!$B$4,4)</f>
        <v/>
      </c>
      <c r="G555" s="12">
        <f>F555/E555</f>
        <v/>
      </c>
      <c r="H555" s="10">
        <f>(A555-B555-(D555-1))/(A555-(D555-1))</f>
        <v/>
      </c>
      <c r="I555" s="9">
        <f>A555&amp;'x'&amp;B555</f>
        <v/>
      </c>
      <c r="J555" s="9">
        <f>IF(AND(G555&gt;0.9,G555&lt;1),"OK","CHECK")</f>
        <v/>
      </c>
    </row>
    <row r="556">
      <c r="A556" s="9" t="n">
        <v>36</v>
      </c>
      <c r="B556" s="9" t="n">
        <v>3</v>
      </c>
      <c r="C556" s="9" t="n">
        <v>33</v>
      </c>
      <c r="D556" s="9" t="n">
        <v>28</v>
      </c>
      <c r="E556" s="10">
        <f>COMBIN(A556,D556)/COMBIN(A556-B556,D556)</f>
        <v/>
      </c>
      <c r="F556" s="11">
        <f>ROUNDUP(E556*Controls!$B$4,4)</f>
        <v/>
      </c>
      <c r="G556" s="12">
        <f>F556/E556</f>
        <v/>
      </c>
      <c r="H556" s="10">
        <f>(A556-B556-(D556-1))/(A556-(D556-1))</f>
        <v/>
      </c>
      <c r="I556" s="9">
        <f>A556&amp;'x'&amp;B556</f>
        <v/>
      </c>
      <c r="J556" s="9">
        <f>IF(AND(G556&gt;0.9,G556&lt;1),"OK","CHECK")</f>
        <v/>
      </c>
    </row>
    <row r="557">
      <c r="A557" s="9" t="n">
        <v>36</v>
      </c>
      <c r="B557" s="9" t="n">
        <v>3</v>
      </c>
      <c r="C557" s="9" t="n">
        <v>33</v>
      </c>
      <c r="D557" s="9" t="n">
        <v>29</v>
      </c>
      <c r="E557" s="10">
        <f>COMBIN(A557,D557)/COMBIN(A557-B557,D557)</f>
        <v/>
      </c>
      <c r="F557" s="11">
        <f>ROUNDUP(E557*Controls!$B$4,4)</f>
        <v/>
      </c>
      <c r="G557" s="12">
        <f>F557/E557</f>
        <v/>
      </c>
      <c r="H557" s="10">
        <f>(A557-B557-(D557-1))/(A557-(D557-1))</f>
        <v/>
      </c>
      <c r="I557" s="9">
        <f>A557&amp;'x'&amp;B557</f>
        <v/>
      </c>
      <c r="J557" s="9">
        <f>IF(AND(G557&gt;0.9,G557&lt;1),"OK","CHECK")</f>
        <v/>
      </c>
    </row>
    <row r="558">
      <c r="A558" s="9" t="n">
        <v>36</v>
      </c>
      <c r="B558" s="9" t="n">
        <v>3</v>
      </c>
      <c r="C558" s="9" t="n">
        <v>33</v>
      </c>
      <c r="D558" s="9" t="n">
        <v>30</v>
      </c>
      <c r="E558" s="10">
        <f>COMBIN(A558,D558)/COMBIN(A558-B558,D558)</f>
        <v/>
      </c>
      <c r="F558" s="11">
        <f>ROUNDUP(E558*Controls!$B$4,4)</f>
        <v/>
      </c>
      <c r="G558" s="12">
        <f>F558/E558</f>
        <v/>
      </c>
      <c r="H558" s="10">
        <f>(A558-B558-(D558-1))/(A558-(D558-1))</f>
        <v/>
      </c>
      <c r="I558" s="9">
        <f>A558&amp;'x'&amp;B558</f>
        <v/>
      </c>
      <c r="J558" s="9">
        <f>IF(AND(G558&gt;0.9,G558&lt;1),"OK","CHECK")</f>
        <v/>
      </c>
    </row>
    <row r="559">
      <c r="A559" s="9" t="n">
        <v>36</v>
      </c>
      <c r="B559" s="9" t="n">
        <v>3</v>
      </c>
      <c r="C559" s="9" t="n">
        <v>33</v>
      </c>
      <c r="D559" s="9" t="n">
        <v>31</v>
      </c>
      <c r="E559" s="10">
        <f>COMBIN(A559,D559)/COMBIN(A559-B559,D559)</f>
        <v/>
      </c>
      <c r="F559" s="11">
        <f>ROUNDUP(E559*Controls!$B$4,4)</f>
        <v/>
      </c>
      <c r="G559" s="12">
        <f>F559/E559</f>
        <v/>
      </c>
      <c r="H559" s="10">
        <f>(A559-B559-(D559-1))/(A559-(D559-1))</f>
        <v/>
      </c>
      <c r="I559" s="9">
        <f>A559&amp;'x'&amp;B559</f>
        <v/>
      </c>
      <c r="J559" s="9">
        <f>IF(AND(G559&gt;0.9,G559&lt;1),"OK","CHECK")</f>
        <v/>
      </c>
    </row>
    <row r="560">
      <c r="A560" s="9" t="n">
        <v>36</v>
      </c>
      <c r="B560" s="9" t="n">
        <v>3</v>
      </c>
      <c r="C560" s="9" t="n">
        <v>33</v>
      </c>
      <c r="D560" s="9" t="n">
        <v>32</v>
      </c>
      <c r="E560" s="10">
        <f>COMBIN(A560,D560)/COMBIN(A560-B560,D560)</f>
        <v/>
      </c>
      <c r="F560" s="11">
        <f>ROUNDUP(E560*Controls!$B$4,4)</f>
        <v/>
      </c>
      <c r="G560" s="12">
        <f>F560/E560</f>
        <v/>
      </c>
      <c r="H560" s="10">
        <f>(A560-B560-(D560-1))/(A560-(D560-1))</f>
        <v/>
      </c>
      <c r="I560" s="9">
        <f>A560&amp;'x'&amp;B560</f>
        <v/>
      </c>
      <c r="J560" s="9">
        <f>IF(AND(G560&gt;0.9,G560&lt;1),"OK","CHECK")</f>
        <v/>
      </c>
    </row>
    <row r="561">
      <c r="A561" s="9" t="n">
        <v>36</v>
      </c>
      <c r="B561" s="9" t="n">
        <v>3</v>
      </c>
      <c r="C561" s="9" t="n">
        <v>33</v>
      </c>
      <c r="D561" s="9" t="n">
        <v>33</v>
      </c>
      <c r="E561" s="10">
        <f>COMBIN(A561,D561)/COMBIN(A561-B561,D561)</f>
        <v/>
      </c>
      <c r="F561" s="11">
        <f>ROUNDUP(E561*Controls!$B$4,4)</f>
        <v/>
      </c>
      <c r="G561" s="12">
        <f>F561/E561</f>
        <v/>
      </c>
      <c r="H561" s="10">
        <f>(A561-B561-(D561-1))/(A561-(D561-1))</f>
        <v/>
      </c>
      <c r="I561" s="9">
        <f>A561&amp;'x'&amp;B561</f>
        <v/>
      </c>
      <c r="J561" s="9">
        <f>IF(AND(G561&gt;0.9,G561&lt;1),"OK","CHECK")</f>
        <v/>
      </c>
    </row>
    <row r="562">
      <c r="A562" s="9" t="n">
        <v>36</v>
      </c>
      <c r="B562" s="9" t="n">
        <v>4</v>
      </c>
      <c r="C562" s="9" t="n">
        <v>32</v>
      </c>
      <c r="D562" s="9" t="n">
        <v>1</v>
      </c>
      <c r="E562" s="10">
        <f>COMBIN(A562,D562)/COMBIN(A562-B562,D562)</f>
        <v/>
      </c>
      <c r="F562" s="11">
        <f>ROUNDUP(E562*Controls!$B$4,4)</f>
        <v/>
      </c>
      <c r="G562" s="12">
        <f>F562/E562</f>
        <v/>
      </c>
      <c r="H562" s="10">
        <f>(A562-B562-(D562-1))/(A562-(D562-1))</f>
        <v/>
      </c>
      <c r="I562" s="9">
        <f>A562&amp;'x'&amp;B562</f>
        <v/>
      </c>
      <c r="J562" s="9">
        <f>IF(AND(G562&gt;0.9,G562&lt;1),"OK","CHECK")</f>
        <v/>
      </c>
    </row>
    <row r="563">
      <c r="A563" s="9" t="n">
        <v>36</v>
      </c>
      <c r="B563" s="9" t="n">
        <v>4</v>
      </c>
      <c r="C563" s="9" t="n">
        <v>32</v>
      </c>
      <c r="D563" s="9" t="n">
        <v>2</v>
      </c>
      <c r="E563" s="10">
        <f>COMBIN(A563,D563)/COMBIN(A563-B563,D563)</f>
        <v/>
      </c>
      <c r="F563" s="11">
        <f>ROUNDUP(E563*Controls!$B$4,4)</f>
        <v/>
      </c>
      <c r="G563" s="12">
        <f>F563/E563</f>
        <v/>
      </c>
      <c r="H563" s="10">
        <f>(A563-B563-(D563-1))/(A563-(D563-1))</f>
        <v/>
      </c>
      <c r="I563" s="9">
        <f>A563&amp;'x'&amp;B563</f>
        <v/>
      </c>
      <c r="J563" s="9">
        <f>IF(AND(G563&gt;0.9,G563&lt;1),"OK","CHECK")</f>
        <v/>
      </c>
    </row>
    <row r="564">
      <c r="A564" s="9" t="n">
        <v>36</v>
      </c>
      <c r="B564" s="9" t="n">
        <v>4</v>
      </c>
      <c r="C564" s="9" t="n">
        <v>32</v>
      </c>
      <c r="D564" s="9" t="n">
        <v>3</v>
      </c>
      <c r="E564" s="10">
        <f>COMBIN(A564,D564)/COMBIN(A564-B564,D564)</f>
        <v/>
      </c>
      <c r="F564" s="11">
        <f>ROUNDUP(E564*Controls!$B$4,4)</f>
        <v/>
      </c>
      <c r="G564" s="12">
        <f>F564/E564</f>
        <v/>
      </c>
      <c r="H564" s="10">
        <f>(A564-B564-(D564-1))/(A564-(D564-1))</f>
        <v/>
      </c>
      <c r="I564" s="9">
        <f>A564&amp;'x'&amp;B564</f>
        <v/>
      </c>
      <c r="J564" s="9">
        <f>IF(AND(G564&gt;0.9,G564&lt;1),"OK","CHECK")</f>
        <v/>
      </c>
    </row>
    <row r="565">
      <c r="A565" s="9" t="n">
        <v>36</v>
      </c>
      <c r="B565" s="9" t="n">
        <v>4</v>
      </c>
      <c r="C565" s="9" t="n">
        <v>32</v>
      </c>
      <c r="D565" s="9" t="n">
        <v>4</v>
      </c>
      <c r="E565" s="10">
        <f>COMBIN(A565,D565)/COMBIN(A565-B565,D565)</f>
        <v/>
      </c>
      <c r="F565" s="11">
        <f>ROUNDUP(E565*Controls!$B$4,4)</f>
        <v/>
      </c>
      <c r="G565" s="12">
        <f>F565/E565</f>
        <v/>
      </c>
      <c r="H565" s="10">
        <f>(A565-B565-(D565-1))/(A565-(D565-1))</f>
        <v/>
      </c>
      <c r="I565" s="9">
        <f>A565&amp;'x'&amp;B565</f>
        <v/>
      </c>
      <c r="J565" s="9">
        <f>IF(AND(G565&gt;0.9,G565&lt;1),"OK","CHECK")</f>
        <v/>
      </c>
    </row>
    <row r="566">
      <c r="A566" s="9" t="n">
        <v>36</v>
      </c>
      <c r="B566" s="9" t="n">
        <v>4</v>
      </c>
      <c r="C566" s="9" t="n">
        <v>32</v>
      </c>
      <c r="D566" s="9" t="n">
        <v>5</v>
      </c>
      <c r="E566" s="10">
        <f>COMBIN(A566,D566)/COMBIN(A566-B566,D566)</f>
        <v/>
      </c>
      <c r="F566" s="11">
        <f>ROUNDUP(E566*Controls!$B$4,4)</f>
        <v/>
      </c>
      <c r="G566" s="12">
        <f>F566/E566</f>
        <v/>
      </c>
      <c r="H566" s="10">
        <f>(A566-B566-(D566-1))/(A566-(D566-1))</f>
        <v/>
      </c>
      <c r="I566" s="9">
        <f>A566&amp;'x'&amp;B566</f>
        <v/>
      </c>
      <c r="J566" s="9">
        <f>IF(AND(G566&gt;0.9,G566&lt;1),"OK","CHECK")</f>
        <v/>
      </c>
    </row>
    <row r="567">
      <c r="A567" s="9" t="n">
        <v>36</v>
      </c>
      <c r="B567" s="9" t="n">
        <v>4</v>
      </c>
      <c r="C567" s="9" t="n">
        <v>32</v>
      </c>
      <c r="D567" s="9" t="n">
        <v>6</v>
      </c>
      <c r="E567" s="10">
        <f>COMBIN(A567,D567)/COMBIN(A567-B567,D567)</f>
        <v/>
      </c>
      <c r="F567" s="11">
        <f>ROUNDUP(E567*Controls!$B$4,4)</f>
        <v/>
      </c>
      <c r="G567" s="12">
        <f>F567/E567</f>
        <v/>
      </c>
      <c r="H567" s="10">
        <f>(A567-B567-(D567-1))/(A567-(D567-1))</f>
        <v/>
      </c>
      <c r="I567" s="9">
        <f>A567&amp;'x'&amp;B567</f>
        <v/>
      </c>
      <c r="J567" s="9">
        <f>IF(AND(G567&gt;0.9,G567&lt;1),"OK","CHECK")</f>
        <v/>
      </c>
    </row>
    <row r="568">
      <c r="A568" s="9" t="n">
        <v>36</v>
      </c>
      <c r="B568" s="9" t="n">
        <v>4</v>
      </c>
      <c r="C568" s="9" t="n">
        <v>32</v>
      </c>
      <c r="D568" s="9" t="n">
        <v>7</v>
      </c>
      <c r="E568" s="10">
        <f>COMBIN(A568,D568)/COMBIN(A568-B568,D568)</f>
        <v/>
      </c>
      <c r="F568" s="11">
        <f>ROUNDUP(E568*Controls!$B$4,4)</f>
        <v/>
      </c>
      <c r="G568" s="12">
        <f>F568/E568</f>
        <v/>
      </c>
      <c r="H568" s="10">
        <f>(A568-B568-(D568-1))/(A568-(D568-1))</f>
        <v/>
      </c>
      <c r="I568" s="9">
        <f>A568&amp;'x'&amp;B568</f>
        <v/>
      </c>
      <c r="J568" s="9">
        <f>IF(AND(G568&gt;0.9,G568&lt;1),"OK","CHECK")</f>
        <v/>
      </c>
    </row>
    <row r="569">
      <c r="A569" s="9" t="n">
        <v>36</v>
      </c>
      <c r="B569" s="9" t="n">
        <v>4</v>
      </c>
      <c r="C569" s="9" t="n">
        <v>32</v>
      </c>
      <c r="D569" s="9" t="n">
        <v>8</v>
      </c>
      <c r="E569" s="10">
        <f>COMBIN(A569,D569)/COMBIN(A569-B569,D569)</f>
        <v/>
      </c>
      <c r="F569" s="11">
        <f>ROUNDUP(E569*Controls!$B$4,4)</f>
        <v/>
      </c>
      <c r="G569" s="12">
        <f>F569/E569</f>
        <v/>
      </c>
      <c r="H569" s="10">
        <f>(A569-B569-(D569-1))/(A569-(D569-1))</f>
        <v/>
      </c>
      <c r="I569" s="9">
        <f>A569&amp;'x'&amp;B569</f>
        <v/>
      </c>
      <c r="J569" s="9">
        <f>IF(AND(G569&gt;0.9,G569&lt;1),"OK","CHECK")</f>
        <v/>
      </c>
    </row>
    <row r="570">
      <c r="A570" s="9" t="n">
        <v>36</v>
      </c>
      <c r="B570" s="9" t="n">
        <v>4</v>
      </c>
      <c r="C570" s="9" t="n">
        <v>32</v>
      </c>
      <c r="D570" s="9" t="n">
        <v>9</v>
      </c>
      <c r="E570" s="10">
        <f>COMBIN(A570,D570)/COMBIN(A570-B570,D570)</f>
        <v/>
      </c>
      <c r="F570" s="11">
        <f>ROUNDUP(E570*Controls!$B$4,4)</f>
        <v/>
      </c>
      <c r="G570" s="12">
        <f>F570/E570</f>
        <v/>
      </c>
      <c r="H570" s="10">
        <f>(A570-B570-(D570-1))/(A570-(D570-1))</f>
        <v/>
      </c>
      <c r="I570" s="9">
        <f>A570&amp;'x'&amp;B570</f>
        <v/>
      </c>
      <c r="J570" s="9">
        <f>IF(AND(G570&gt;0.9,G570&lt;1),"OK","CHECK")</f>
        <v/>
      </c>
    </row>
    <row r="571">
      <c r="A571" s="9" t="n">
        <v>36</v>
      </c>
      <c r="B571" s="9" t="n">
        <v>4</v>
      </c>
      <c r="C571" s="9" t="n">
        <v>32</v>
      </c>
      <c r="D571" s="9" t="n">
        <v>10</v>
      </c>
      <c r="E571" s="10">
        <f>COMBIN(A571,D571)/COMBIN(A571-B571,D571)</f>
        <v/>
      </c>
      <c r="F571" s="11">
        <f>ROUNDUP(E571*Controls!$B$4,4)</f>
        <v/>
      </c>
      <c r="G571" s="12">
        <f>F571/E571</f>
        <v/>
      </c>
      <c r="H571" s="10">
        <f>(A571-B571-(D571-1))/(A571-(D571-1))</f>
        <v/>
      </c>
      <c r="I571" s="9">
        <f>A571&amp;'x'&amp;B571</f>
        <v/>
      </c>
      <c r="J571" s="9">
        <f>IF(AND(G571&gt;0.9,G571&lt;1),"OK","CHECK")</f>
        <v/>
      </c>
    </row>
    <row r="572">
      <c r="A572" s="9" t="n">
        <v>36</v>
      </c>
      <c r="B572" s="9" t="n">
        <v>4</v>
      </c>
      <c r="C572" s="9" t="n">
        <v>32</v>
      </c>
      <c r="D572" s="9" t="n">
        <v>11</v>
      </c>
      <c r="E572" s="10">
        <f>COMBIN(A572,D572)/COMBIN(A572-B572,D572)</f>
        <v/>
      </c>
      <c r="F572" s="11">
        <f>ROUNDUP(E572*Controls!$B$4,4)</f>
        <v/>
      </c>
      <c r="G572" s="12">
        <f>F572/E572</f>
        <v/>
      </c>
      <c r="H572" s="10">
        <f>(A572-B572-(D572-1))/(A572-(D572-1))</f>
        <v/>
      </c>
      <c r="I572" s="9">
        <f>A572&amp;'x'&amp;B572</f>
        <v/>
      </c>
      <c r="J572" s="9">
        <f>IF(AND(G572&gt;0.9,G572&lt;1),"OK","CHECK")</f>
        <v/>
      </c>
    </row>
    <row r="573">
      <c r="A573" s="9" t="n">
        <v>36</v>
      </c>
      <c r="B573" s="9" t="n">
        <v>4</v>
      </c>
      <c r="C573" s="9" t="n">
        <v>32</v>
      </c>
      <c r="D573" s="9" t="n">
        <v>12</v>
      </c>
      <c r="E573" s="10">
        <f>COMBIN(A573,D573)/COMBIN(A573-B573,D573)</f>
        <v/>
      </c>
      <c r="F573" s="11">
        <f>ROUNDUP(E573*Controls!$B$4,4)</f>
        <v/>
      </c>
      <c r="G573" s="12">
        <f>F573/E573</f>
        <v/>
      </c>
      <c r="H573" s="10">
        <f>(A573-B573-(D573-1))/(A573-(D573-1))</f>
        <v/>
      </c>
      <c r="I573" s="9">
        <f>A573&amp;'x'&amp;B573</f>
        <v/>
      </c>
      <c r="J573" s="9">
        <f>IF(AND(G573&gt;0.9,G573&lt;1),"OK","CHECK")</f>
        <v/>
      </c>
    </row>
    <row r="574">
      <c r="A574" s="9" t="n">
        <v>36</v>
      </c>
      <c r="B574" s="9" t="n">
        <v>4</v>
      </c>
      <c r="C574" s="9" t="n">
        <v>32</v>
      </c>
      <c r="D574" s="9" t="n">
        <v>13</v>
      </c>
      <c r="E574" s="10">
        <f>COMBIN(A574,D574)/COMBIN(A574-B574,D574)</f>
        <v/>
      </c>
      <c r="F574" s="11">
        <f>ROUNDUP(E574*Controls!$B$4,4)</f>
        <v/>
      </c>
      <c r="G574" s="12">
        <f>F574/E574</f>
        <v/>
      </c>
      <c r="H574" s="10">
        <f>(A574-B574-(D574-1))/(A574-(D574-1))</f>
        <v/>
      </c>
      <c r="I574" s="9">
        <f>A574&amp;'x'&amp;B574</f>
        <v/>
      </c>
      <c r="J574" s="9">
        <f>IF(AND(G574&gt;0.9,G574&lt;1),"OK","CHECK")</f>
        <v/>
      </c>
    </row>
    <row r="575">
      <c r="A575" s="9" t="n">
        <v>36</v>
      </c>
      <c r="B575" s="9" t="n">
        <v>4</v>
      </c>
      <c r="C575" s="9" t="n">
        <v>32</v>
      </c>
      <c r="D575" s="9" t="n">
        <v>14</v>
      </c>
      <c r="E575" s="10">
        <f>COMBIN(A575,D575)/COMBIN(A575-B575,D575)</f>
        <v/>
      </c>
      <c r="F575" s="11">
        <f>ROUNDUP(E575*Controls!$B$4,4)</f>
        <v/>
      </c>
      <c r="G575" s="12">
        <f>F575/E575</f>
        <v/>
      </c>
      <c r="H575" s="10">
        <f>(A575-B575-(D575-1))/(A575-(D575-1))</f>
        <v/>
      </c>
      <c r="I575" s="9">
        <f>A575&amp;'x'&amp;B575</f>
        <v/>
      </c>
      <c r="J575" s="9">
        <f>IF(AND(G575&gt;0.9,G575&lt;1),"OK","CHECK")</f>
        <v/>
      </c>
    </row>
    <row r="576">
      <c r="A576" s="9" t="n">
        <v>36</v>
      </c>
      <c r="B576" s="9" t="n">
        <v>4</v>
      </c>
      <c r="C576" s="9" t="n">
        <v>32</v>
      </c>
      <c r="D576" s="9" t="n">
        <v>15</v>
      </c>
      <c r="E576" s="10">
        <f>COMBIN(A576,D576)/COMBIN(A576-B576,D576)</f>
        <v/>
      </c>
      <c r="F576" s="11">
        <f>ROUNDUP(E576*Controls!$B$4,4)</f>
        <v/>
      </c>
      <c r="G576" s="12">
        <f>F576/E576</f>
        <v/>
      </c>
      <c r="H576" s="10">
        <f>(A576-B576-(D576-1))/(A576-(D576-1))</f>
        <v/>
      </c>
      <c r="I576" s="9">
        <f>A576&amp;'x'&amp;B576</f>
        <v/>
      </c>
      <c r="J576" s="9">
        <f>IF(AND(G576&gt;0.9,G576&lt;1),"OK","CHECK")</f>
        <v/>
      </c>
    </row>
    <row r="577">
      <c r="A577" s="9" t="n">
        <v>36</v>
      </c>
      <c r="B577" s="9" t="n">
        <v>4</v>
      </c>
      <c r="C577" s="9" t="n">
        <v>32</v>
      </c>
      <c r="D577" s="9" t="n">
        <v>16</v>
      </c>
      <c r="E577" s="10">
        <f>COMBIN(A577,D577)/COMBIN(A577-B577,D577)</f>
        <v/>
      </c>
      <c r="F577" s="11">
        <f>ROUNDUP(E577*Controls!$B$4,4)</f>
        <v/>
      </c>
      <c r="G577" s="12">
        <f>F577/E577</f>
        <v/>
      </c>
      <c r="H577" s="10">
        <f>(A577-B577-(D577-1))/(A577-(D577-1))</f>
        <v/>
      </c>
      <c r="I577" s="9">
        <f>A577&amp;'x'&amp;B577</f>
        <v/>
      </c>
      <c r="J577" s="9">
        <f>IF(AND(G577&gt;0.9,G577&lt;1),"OK","CHECK")</f>
        <v/>
      </c>
    </row>
    <row r="578">
      <c r="A578" s="9" t="n">
        <v>36</v>
      </c>
      <c r="B578" s="9" t="n">
        <v>4</v>
      </c>
      <c r="C578" s="9" t="n">
        <v>32</v>
      </c>
      <c r="D578" s="9" t="n">
        <v>17</v>
      </c>
      <c r="E578" s="10">
        <f>COMBIN(A578,D578)/COMBIN(A578-B578,D578)</f>
        <v/>
      </c>
      <c r="F578" s="11">
        <f>ROUNDUP(E578*Controls!$B$4,4)</f>
        <v/>
      </c>
      <c r="G578" s="12">
        <f>F578/E578</f>
        <v/>
      </c>
      <c r="H578" s="10">
        <f>(A578-B578-(D578-1))/(A578-(D578-1))</f>
        <v/>
      </c>
      <c r="I578" s="9">
        <f>A578&amp;'x'&amp;B578</f>
        <v/>
      </c>
      <c r="J578" s="9">
        <f>IF(AND(G578&gt;0.9,G578&lt;1),"OK","CHECK")</f>
        <v/>
      </c>
    </row>
    <row r="579">
      <c r="A579" s="9" t="n">
        <v>36</v>
      </c>
      <c r="B579" s="9" t="n">
        <v>4</v>
      </c>
      <c r="C579" s="9" t="n">
        <v>32</v>
      </c>
      <c r="D579" s="9" t="n">
        <v>18</v>
      </c>
      <c r="E579" s="10">
        <f>COMBIN(A579,D579)/COMBIN(A579-B579,D579)</f>
        <v/>
      </c>
      <c r="F579" s="11">
        <f>ROUNDUP(E579*Controls!$B$4,4)</f>
        <v/>
      </c>
      <c r="G579" s="12">
        <f>F579/E579</f>
        <v/>
      </c>
      <c r="H579" s="10">
        <f>(A579-B579-(D579-1))/(A579-(D579-1))</f>
        <v/>
      </c>
      <c r="I579" s="9">
        <f>A579&amp;'x'&amp;B579</f>
        <v/>
      </c>
      <c r="J579" s="9">
        <f>IF(AND(G579&gt;0.9,G579&lt;1),"OK","CHECK")</f>
        <v/>
      </c>
    </row>
    <row r="580">
      <c r="A580" s="9" t="n">
        <v>36</v>
      </c>
      <c r="B580" s="9" t="n">
        <v>4</v>
      </c>
      <c r="C580" s="9" t="n">
        <v>32</v>
      </c>
      <c r="D580" s="9" t="n">
        <v>19</v>
      </c>
      <c r="E580" s="10">
        <f>COMBIN(A580,D580)/COMBIN(A580-B580,D580)</f>
        <v/>
      </c>
      <c r="F580" s="11">
        <f>ROUNDUP(E580*Controls!$B$4,4)</f>
        <v/>
      </c>
      <c r="G580" s="12">
        <f>F580/E580</f>
        <v/>
      </c>
      <c r="H580" s="10">
        <f>(A580-B580-(D580-1))/(A580-(D580-1))</f>
        <v/>
      </c>
      <c r="I580" s="9">
        <f>A580&amp;'x'&amp;B580</f>
        <v/>
      </c>
      <c r="J580" s="9">
        <f>IF(AND(G580&gt;0.9,G580&lt;1),"OK","CHECK")</f>
        <v/>
      </c>
    </row>
    <row r="581">
      <c r="A581" s="9" t="n">
        <v>36</v>
      </c>
      <c r="B581" s="9" t="n">
        <v>4</v>
      </c>
      <c r="C581" s="9" t="n">
        <v>32</v>
      </c>
      <c r="D581" s="9" t="n">
        <v>20</v>
      </c>
      <c r="E581" s="10">
        <f>COMBIN(A581,D581)/COMBIN(A581-B581,D581)</f>
        <v/>
      </c>
      <c r="F581" s="11">
        <f>ROUNDUP(E581*Controls!$B$4,4)</f>
        <v/>
      </c>
      <c r="G581" s="12">
        <f>F581/E581</f>
        <v/>
      </c>
      <c r="H581" s="10">
        <f>(A581-B581-(D581-1))/(A581-(D581-1))</f>
        <v/>
      </c>
      <c r="I581" s="9">
        <f>A581&amp;'x'&amp;B581</f>
        <v/>
      </c>
      <c r="J581" s="9">
        <f>IF(AND(G581&gt;0.9,G581&lt;1),"OK","CHECK")</f>
        <v/>
      </c>
    </row>
    <row r="582">
      <c r="A582" s="9" t="n">
        <v>36</v>
      </c>
      <c r="B582" s="9" t="n">
        <v>4</v>
      </c>
      <c r="C582" s="9" t="n">
        <v>32</v>
      </c>
      <c r="D582" s="9" t="n">
        <v>21</v>
      </c>
      <c r="E582" s="10">
        <f>COMBIN(A582,D582)/COMBIN(A582-B582,D582)</f>
        <v/>
      </c>
      <c r="F582" s="11">
        <f>ROUNDUP(E582*Controls!$B$4,4)</f>
        <v/>
      </c>
      <c r="G582" s="12">
        <f>F582/E582</f>
        <v/>
      </c>
      <c r="H582" s="10">
        <f>(A582-B582-(D582-1))/(A582-(D582-1))</f>
        <v/>
      </c>
      <c r="I582" s="9">
        <f>A582&amp;'x'&amp;B582</f>
        <v/>
      </c>
      <c r="J582" s="9">
        <f>IF(AND(G582&gt;0.9,G582&lt;1),"OK","CHECK")</f>
        <v/>
      </c>
    </row>
    <row r="583">
      <c r="A583" s="9" t="n">
        <v>36</v>
      </c>
      <c r="B583" s="9" t="n">
        <v>4</v>
      </c>
      <c r="C583" s="9" t="n">
        <v>32</v>
      </c>
      <c r="D583" s="9" t="n">
        <v>22</v>
      </c>
      <c r="E583" s="10">
        <f>COMBIN(A583,D583)/COMBIN(A583-B583,D583)</f>
        <v/>
      </c>
      <c r="F583" s="11">
        <f>ROUNDUP(E583*Controls!$B$4,4)</f>
        <v/>
      </c>
      <c r="G583" s="12">
        <f>F583/E583</f>
        <v/>
      </c>
      <c r="H583" s="10">
        <f>(A583-B583-(D583-1))/(A583-(D583-1))</f>
        <v/>
      </c>
      <c r="I583" s="9">
        <f>A583&amp;'x'&amp;B583</f>
        <v/>
      </c>
      <c r="J583" s="9">
        <f>IF(AND(G583&gt;0.9,G583&lt;1),"OK","CHECK")</f>
        <v/>
      </c>
    </row>
    <row r="584">
      <c r="A584" s="9" t="n">
        <v>36</v>
      </c>
      <c r="B584" s="9" t="n">
        <v>4</v>
      </c>
      <c r="C584" s="9" t="n">
        <v>32</v>
      </c>
      <c r="D584" s="9" t="n">
        <v>23</v>
      </c>
      <c r="E584" s="10">
        <f>COMBIN(A584,D584)/COMBIN(A584-B584,D584)</f>
        <v/>
      </c>
      <c r="F584" s="11">
        <f>ROUNDUP(E584*Controls!$B$4,4)</f>
        <v/>
      </c>
      <c r="G584" s="12">
        <f>F584/E584</f>
        <v/>
      </c>
      <c r="H584" s="10">
        <f>(A584-B584-(D584-1))/(A584-(D584-1))</f>
        <v/>
      </c>
      <c r="I584" s="9">
        <f>A584&amp;'x'&amp;B584</f>
        <v/>
      </c>
      <c r="J584" s="9">
        <f>IF(AND(G584&gt;0.9,G584&lt;1),"OK","CHECK")</f>
        <v/>
      </c>
    </row>
    <row r="585">
      <c r="A585" s="9" t="n">
        <v>36</v>
      </c>
      <c r="B585" s="9" t="n">
        <v>4</v>
      </c>
      <c r="C585" s="9" t="n">
        <v>32</v>
      </c>
      <c r="D585" s="9" t="n">
        <v>24</v>
      </c>
      <c r="E585" s="10">
        <f>COMBIN(A585,D585)/COMBIN(A585-B585,D585)</f>
        <v/>
      </c>
      <c r="F585" s="11">
        <f>ROUNDUP(E585*Controls!$B$4,4)</f>
        <v/>
      </c>
      <c r="G585" s="12">
        <f>F585/E585</f>
        <v/>
      </c>
      <c r="H585" s="10">
        <f>(A585-B585-(D585-1))/(A585-(D585-1))</f>
        <v/>
      </c>
      <c r="I585" s="9">
        <f>A585&amp;'x'&amp;B585</f>
        <v/>
      </c>
      <c r="J585" s="9">
        <f>IF(AND(G585&gt;0.9,G585&lt;1),"OK","CHECK")</f>
        <v/>
      </c>
    </row>
    <row r="586">
      <c r="A586" s="9" t="n">
        <v>36</v>
      </c>
      <c r="B586" s="9" t="n">
        <v>4</v>
      </c>
      <c r="C586" s="9" t="n">
        <v>32</v>
      </c>
      <c r="D586" s="9" t="n">
        <v>25</v>
      </c>
      <c r="E586" s="10">
        <f>COMBIN(A586,D586)/COMBIN(A586-B586,D586)</f>
        <v/>
      </c>
      <c r="F586" s="11">
        <f>ROUNDUP(E586*Controls!$B$4,4)</f>
        <v/>
      </c>
      <c r="G586" s="12">
        <f>F586/E586</f>
        <v/>
      </c>
      <c r="H586" s="10">
        <f>(A586-B586-(D586-1))/(A586-(D586-1))</f>
        <v/>
      </c>
      <c r="I586" s="9">
        <f>A586&amp;'x'&amp;B586</f>
        <v/>
      </c>
      <c r="J586" s="9">
        <f>IF(AND(G586&gt;0.9,G586&lt;1),"OK","CHECK")</f>
        <v/>
      </c>
    </row>
    <row r="587">
      <c r="A587" s="9" t="n">
        <v>36</v>
      </c>
      <c r="B587" s="9" t="n">
        <v>4</v>
      </c>
      <c r="C587" s="9" t="n">
        <v>32</v>
      </c>
      <c r="D587" s="9" t="n">
        <v>26</v>
      </c>
      <c r="E587" s="10">
        <f>COMBIN(A587,D587)/COMBIN(A587-B587,D587)</f>
        <v/>
      </c>
      <c r="F587" s="11">
        <f>ROUNDUP(E587*Controls!$B$4,4)</f>
        <v/>
      </c>
      <c r="G587" s="12">
        <f>F587/E587</f>
        <v/>
      </c>
      <c r="H587" s="10">
        <f>(A587-B587-(D587-1))/(A587-(D587-1))</f>
        <v/>
      </c>
      <c r="I587" s="9">
        <f>A587&amp;'x'&amp;B587</f>
        <v/>
      </c>
      <c r="J587" s="9">
        <f>IF(AND(G587&gt;0.9,G587&lt;1),"OK","CHECK")</f>
        <v/>
      </c>
    </row>
    <row r="588">
      <c r="A588" s="9" t="n">
        <v>36</v>
      </c>
      <c r="B588" s="9" t="n">
        <v>4</v>
      </c>
      <c r="C588" s="9" t="n">
        <v>32</v>
      </c>
      <c r="D588" s="9" t="n">
        <v>27</v>
      </c>
      <c r="E588" s="10">
        <f>COMBIN(A588,D588)/COMBIN(A588-B588,D588)</f>
        <v/>
      </c>
      <c r="F588" s="11">
        <f>ROUNDUP(E588*Controls!$B$4,4)</f>
        <v/>
      </c>
      <c r="G588" s="12">
        <f>F588/E588</f>
        <v/>
      </c>
      <c r="H588" s="10">
        <f>(A588-B588-(D588-1))/(A588-(D588-1))</f>
        <v/>
      </c>
      <c r="I588" s="9">
        <f>A588&amp;'x'&amp;B588</f>
        <v/>
      </c>
      <c r="J588" s="9">
        <f>IF(AND(G588&gt;0.9,G588&lt;1),"OK","CHECK")</f>
        <v/>
      </c>
    </row>
    <row r="589">
      <c r="A589" s="9" t="n">
        <v>36</v>
      </c>
      <c r="B589" s="9" t="n">
        <v>4</v>
      </c>
      <c r="C589" s="9" t="n">
        <v>32</v>
      </c>
      <c r="D589" s="9" t="n">
        <v>28</v>
      </c>
      <c r="E589" s="10">
        <f>COMBIN(A589,D589)/COMBIN(A589-B589,D589)</f>
        <v/>
      </c>
      <c r="F589" s="11">
        <f>ROUNDUP(E589*Controls!$B$4,4)</f>
        <v/>
      </c>
      <c r="G589" s="12">
        <f>F589/E589</f>
        <v/>
      </c>
      <c r="H589" s="10">
        <f>(A589-B589-(D589-1))/(A589-(D589-1))</f>
        <v/>
      </c>
      <c r="I589" s="9">
        <f>A589&amp;'x'&amp;B589</f>
        <v/>
      </c>
      <c r="J589" s="9">
        <f>IF(AND(G589&gt;0.9,G589&lt;1),"OK","CHECK")</f>
        <v/>
      </c>
    </row>
    <row r="590">
      <c r="A590" s="9" t="n">
        <v>36</v>
      </c>
      <c r="B590" s="9" t="n">
        <v>4</v>
      </c>
      <c r="C590" s="9" t="n">
        <v>32</v>
      </c>
      <c r="D590" s="9" t="n">
        <v>29</v>
      </c>
      <c r="E590" s="10">
        <f>COMBIN(A590,D590)/COMBIN(A590-B590,D590)</f>
        <v/>
      </c>
      <c r="F590" s="11">
        <f>ROUNDUP(E590*Controls!$B$4,4)</f>
        <v/>
      </c>
      <c r="G590" s="12">
        <f>F590/E590</f>
        <v/>
      </c>
      <c r="H590" s="10">
        <f>(A590-B590-(D590-1))/(A590-(D590-1))</f>
        <v/>
      </c>
      <c r="I590" s="9">
        <f>A590&amp;'x'&amp;B590</f>
        <v/>
      </c>
      <c r="J590" s="9">
        <f>IF(AND(G590&gt;0.9,G590&lt;1),"OK","CHECK")</f>
        <v/>
      </c>
    </row>
    <row r="591">
      <c r="A591" s="9" t="n">
        <v>36</v>
      </c>
      <c r="B591" s="9" t="n">
        <v>4</v>
      </c>
      <c r="C591" s="9" t="n">
        <v>32</v>
      </c>
      <c r="D591" s="9" t="n">
        <v>30</v>
      </c>
      <c r="E591" s="10">
        <f>COMBIN(A591,D591)/COMBIN(A591-B591,D591)</f>
        <v/>
      </c>
      <c r="F591" s="11">
        <f>ROUNDUP(E591*Controls!$B$4,4)</f>
        <v/>
      </c>
      <c r="G591" s="12">
        <f>F591/E591</f>
        <v/>
      </c>
      <c r="H591" s="10">
        <f>(A591-B591-(D591-1))/(A591-(D591-1))</f>
        <v/>
      </c>
      <c r="I591" s="9">
        <f>A591&amp;'x'&amp;B591</f>
        <v/>
      </c>
      <c r="J591" s="9">
        <f>IF(AND(G591&gt;0.9,G591&lt;1),"OK","CHECK")</f>
        <v/>
      </c>
    </row>
    <row r="592">
      <c r="A592" s="9" t="n">
        <v>36</v>
      </c>
      <c r="B592" s="9" t="n">
        <v>4</v>
      </c>
      <c r="C592" s="9" t="n">
        <v>32</v>
      </c>
      <c r="D592" s="9" t="n">
        <v>31</v>
      </c>
      <c r="E592" s="10">
        <f>COMBIN(A592,D592)/COMBIN(A592-B592,D592)</f>
        <v/>
      </c>
      <c r="F592" s="11">
        <f>ROUNDUP(E592*Controls!$B$4,4)</f>
        <v/>
      </c>
      <c r="G592" s="12">
        <f>F592/E592</f>
        <v/>
      </c>
      <c r="H592" s="10">
        <f>(A592-B592-(D592-1))/(A592-(D592-1))</f>
        <v/>
      </c>
      <c r="I592" s="9">
        <f>A592&amp;'x'&amp;B592</f>
        <v/>
      </c>
      <c r="J592" s="9">
        <f>IF(AND(G592&gt;0.9,G592&lt;1),"OK","CHECK")</f>
        <v/>
      </c>
    </row>
    <row r="593">
      <c r="A593" s="9" t="n">
        <v>36</v>
      </c>
      <c r="B593" s="9" t="n">
        <v>4</v>
      </c>
      <c r="C593" s="9" t="n">
        <v>32</v>
      </c>
      <c r="D593" s="9" t="n">
        <v>32</v>
      </c>
      <c r="E593" s="10">
        <f>COMBIN(A593,D593)/COMBIN(A593-B593,D593)</f>
        <v/>
      </c>
      <c r="F593" s="11">
        <f>ROUNDUP(E593*Controls!$B$4,4)</f>
        <v/>
      </c>
      <c r="G593" s="12">
        <f>F593/E593</f>
        <v/>
      </c>
      <c r="H593" s="10">
        <f>(A593-B593-(D593-1))/(A593-(D593-1))</f>
        <v/>
      </c>
      <c r="I593" s="9">
        <f>A593&amp;'x'&amp;B593</f>
        <v/>
      </c>
      <c r="J593" s="9">
        <f>IF(AND(G593&gt;0.9,G593&lt;1),"OK","CHECK")</f>
        <v/>
      </c>
    </row>
    <row r="594">
      <c r="A594" s="9" t="n">
        <v>36</v>
      </c>
      <c r="B594" s="9" t="n">
        <v>5</v>
      </c>
      <c r="C594" s="9" t="n">
        <v>31</v>
      </c>
      <c r="D594" s="9" t="n">
        <v>1</v>
      </c>
      <c r="E594" s="10">
        <f>COMBIN(A594,D594)/COMBIN(A594-B594,D594)</f>
        <v/>
      </c>
      <c r="F594" s="11">
        <f>ROUNDUP(E594*Controls!$B$4,4)</f>
        <v/>
      </c>
      <c r="G594" s="12">
        <f>F594/E594</f>
        <v/>
      </c>
      <c r="H594" s="10">
        <f>(A594-B594-(D594-1))/(A594-(D594-1))</f>
        <v/>
      </c>
      <c r="I594" s="9">
        <f>A594&amp;'x'&amp;B594</f>
        <v/>
      </c>
      <c r="J594" s="9">
        <f>IF(AND(G594&gt;0.9,G594&lt;1),"OK","CHECK")</f>
        <v/>
      </c>
    </row>
    <row r="595">
      <c r="A595" s="9" t="n">
        <v>36</v>
      </c>
      <c r="B595" s="9" t="n">
        <v>5</v>
      </c>
      <c r="C595" s="9" t="n">
        <v>31</v>
      </c>
      <c r="D595" s="9" t="n">
        <v>2</v>
      </c>
      <c r="E595" s="10">
        <f>COMBIN(A595,D595)/COMBIN(A595-B595,D595)</f>
        <v/>
      </c>
      <c r="F595" s="11">
        <f>ROUNDUP(E595*Controls!$B$4,4)</f>
        <v/>
      </c>
      <c r="G595" s="12">
        <f>F595/E595</f>
        <v/>
      </c>
      <c r="H595" s="10">
        <f>(A595-B595-(D595-1))/(A595-(D595-1))</f>
        <v/>
      </c>
      <c r="I595" s="9">
        <f>A595&amp;'x'&amp;B595</f>
        <v/>
      </c>
      <c r="J595" s="9">
        <f>IF(AND(G595&gt;0.9,G595&lt;1),"OK","CHECK")</f>
        <v/>
      </c>
    </row>
    <row r="596">
      <c r="A596" s="9" t="n">
        <v>36</v>
      </c>
      <c r="B596" s="9" t="n">
        <v>5</v>
      </c>
      <c r="C596" s="9" t="n">
        <v>31</v>
      </c>
      <c r="D596" s="9" t="n">
        <v>3</v>
      </c>
      <c r="E596" s="10">
        <f>COMBIN(A596,D596)/COMBIN(A596-B596,D596)</f>
        <v/>
      </c>
      <c r="F596" s="11">
        <f>ROUNDUP(E596*Controls!$B$4,4)</f>
        <v/>
      </c>
      <c r="G596" s="12">
        <f>F596/E596</f>
        <v/>
      </c>
      <c r="H596" s="10">
        <f>(A596-B596-(D596-1))/(A596-(D596-1))</f>
        <v/>
      </c>
      <c r="I596" s="9">
        <f>A596&amp;'x'&amp;B596</f>
        <v/>
      </c>
      <c r="J596" s="9">
        <f>IF(AND(G596&gt;0.9,G596&lt;1),"OK","CHECK")</f>
        <v/>
      </c>
    </row>
    <row r="597">
      <c r="A597" s="9" t="n">
        <v>36</v>
      </c>
      <c r="B597" s="9" t="n">
        <v>5</v>
      </c>
      <c r="C597" s="9" t="n">
        <v>31</v>
      </c>
      <c r="D597" s="9" t="n">
        <v>4</v>
      </c>
      <c r="E597" s="10">
        <f>COMBIN(A597,D597)/COMBIN(A597-B597,D597)</f>
        <v/>
      </c>
      <c r="F597" s="11">
        <f>ROUNDUP(E597*Controls!$B$4,4)</f>
        <v/>
      </c>
      <c r="G597" s="12">
        <f>F597/E597</f>
        <v/>
      </c>
      <c r="H597" s="10">
        <f>(A597-B597-(D597-1))/(A597-(D597-1))</f>
        <v/>
      </c>
      <c r="I597" s="9">
        <f>A597&amp;'x'&amp;B597</f>
        <v/>
      </c>
      <c r="J597" s="9">
        <f>IF(AND(G597&gt;0.9,G597&lt;1),"OK","CHECK")</f>
        <v/>
      </c>
    </row>
    <row r="598">
      <c r="A598" s="9" t="n">
        <v>36</v>
      </c>
      <c r="B598" s="9" t="n">
        <v>5</v>
      </c>
      <c r="C598" s="9" t="n">
        <v>31</v>
      </c>
      <c r="D598" s="9" t="n">
        <v>5</v>
      </c>
      <c r="E598" s="10">
        <f>COMBIN(A598,D598)/COMBIN(A598-B598,D598)</f>
        <v/>
      </c>
      <c r="F598" s="11">
        <f>ROUNDUP(E598*Controls!$B$4,4)</f>
        <v/>
      </c>
      <c r="G598" s="12">
        <f>F598/E598</f>
        <v/>
      </c>
      <c r="H598" s="10">
        <f>(A598-B598-(D598-1))/(A598-(D598-1))</f>
        <v/>
      </c>
      <c r="I598" s="9">
        <f>A598&amp;'x'&amp;B598</f>
        <v/>
      </c>
      <c r="J598" s="9">
        <f>IF(AND(G598&gt;0.9,G598&lt;1),"OK","CHECK")</f>
        <v/>
      </c>
    </row>
    <row r="599">
      <c r="A599" s="9" t="n">
        <v>36</v>
      </c>
      <c r="B599" s="9" t="n">
        <v>5</v>
      </c>
      <c r="C599" s="9" t="n">
        <v>31</v>
      </c>
      <c r="D599" s="9" t="n">
        <v>6</v>
      </c>
      <c r="E599" s="10">
        <f>COMBIN(A599,D599)/COMBIN(A599-B599,D599)</f>
        <v/>
      </c>
      <c r="F599" s="11">
        <f>ROUNDUP(E599*Controls!$B$4,4)</f>
        <v/>
      </c>
      <c r="G599" s="12">
        <f>F599/E599</f>
        <v/>
      </c>
      <c r="H599" s="10">
        <f>(A599-B599-(D599-1))/(A599-(D599-1))</f>
        <v/>
      </c>
      <c r="I599" s="9">
        <f>A599&amp;'x'&amp;B599</f>
        <v/>
      </c>
      <c r="J599" s="9">
        <f>IF(AND(G599&gt;0.9,G599&lt;1),"OK","CHECK")</f>
        <v/>
      </c>
    </row>
    <row r="600">
      <c r="A600" s="9" t="n">
        <v>36</v>
      </c>
      <c r="B600" s="9" t="n">
        <v>5</v>
      </c>
      <c r="C600" s="9" t="n">
        <v>31</v>
      </c>
      <c r="D600" s="9" t="n">
        <v>7</v>
      </c>
      <c r="E600" s="10">
        <f>COMBIN(A600,D600)/COMBIN(A600-B600,D600)</f>
        <v/>
      </c>
      <c r="F600" s="11">
        <f>ROUNDUP(E600*Controls!$B$4,4)</f>
        <v/>
      </c>
      <c r="G600" s="12">
        <f>F600/E600</f>
        <v/>
      </c>
      <c r="H600" s="10">
        <f>(A600-B600-(D600-1))/(A600-(D600-1))</f>
        <v/>
      </c>
      <c r="I600" s="9">
        <f>A600&amp;'x'&amp;B600</f>
        <v/>
      </c>
      <c r="J600" s="9">
        <f>IF(AND(G600&gt;0.9,G600&lt;1),"OK","CHECK")</f>
        <v/>
      </c>
    </row>
    <row r="601">
      <c r="A601" s="9" t="n">
        <v>36</v>
      </c>
      <c r="B601" s="9" t="n">
        <v>5</v>
      </c>
      <c r="C601" s="9" t="n">
        <v>31</v>
      </c>
      <c r="D601" s="9" t="n">
        <v>8</v>
      </c>
      <c r="E601" s="10">
        <f>COMBIN(A601,D601)/COMBIN(A601-B601,D601)</f>
        <v/>
      </c>
      <c r="F601" s="11">
        <f>ROUNDUP(E601*Controls!$B$4,4)</f>
        <v/>
      </c>
      <c r="G601" s="12">
        <f>F601/E601</f>
        <v/>
      </c>
      <c r="H601" s="10">
        <f>(A601-B601-(D601-1))/(A601-(D601-1))</f>
        <v/>
      </c>
      <c r="I601" s="9">
        <f>A601&amp;'x'&amp;B601</f>
        <v/>
      </c>
      <c r="J601" s="9">
        <f>IF(AND(G601&gt;0.9,G601&lt;1),"OK","CHECK")</f>
        <v/>
      </c>
    </row>
    <row r="602">
      <c r="A602" s="9" t="n">
        <v>36</v>
      </c>
      <c r="B602" s="9" t="n">
        <v>5</v>
      </c>
      <c r="C602" s="9" t="n">
        <v>31</v>
      </c>
      <c r="D602" s="9" t="n">
        <v>9</v>
      </c>
      <c r="E602" s="10">
        <f>COMBIN(A602,D602)/COMBIN(A602-B602,D602)</f>
        <v/>
      </c>
      <c r="F602" s="11">
        <f>ROUNDUP(E602*Controls!$B$4,4)</f>
        <v/>
      </c>
      <c r="G602" s="12">
        <f>F602/E602</f>
        <v/>
      </c>
      <c r="H602" s="10">
        <f>(A602-B602-(D602-1))/(A602-(D602-1))</f>
        <v/>
      </c>
      <c r="I602" s="9">
        <f>A602&amp;'x'&amp;B602</f>
        <v/>
      </c>
      <c r="J602" s="9">
        <f>IF(AND(G602&gt;0.9,G602&lt;1),"OK","CHECK")</f>
        <v/>
      </c>
    </row>
    <row r="603">
      <c r="A603" s="9" t="n">
        <v>36</v>
      </c>
      <c r="B603" s="9" t="n">
        <v>5</v>
      </c>
      <c r="C603" s="9" t="n">
        <v>31</v>
      </c>
      <c r="D603" s="9" t="n">
        <v>10</v>
      </c>
      <c r="E603" s="10">
        <f>COMBIN(A603,D603)/COMBIN(A603-B603,D603)</f>
        <v/>
      </c>
      <c r="F603" s="11">
        <f>ROUNDUP(E603*Controls!$B$4,4)</f>
        <v/>
      </c>
      <c r="G603" s="12">
        <f>F603/E603</f>
        <v/>
      </c>
      <c r="H603" s="10">
        <f>(A603-B603-(D603-1))/(A603-(D603-1))</f>
        <v/>
      </c>
      <c r="I603" s="9">
        <f>A603&amp;'x'&amp;B603</f>
        <v/>
      </c>
      <c r="J603" s="9">
        <f>IF(AND(G603&gt;0.9,G603&lt;1),"OK","CHECK")</f>
        <v/>
      </c>
    </row>
    <row r="604">
      <c r="A604" s="9" t="n">
        <v>36</v>
      </c>
      <c r="B604" s="9" t="n">
        <v>5</v>
      </c>
      <c r="C604" s="9" t="n">
        <v>31</v>
      </c>
      <c r="D604" s="9" t="n">
        <v>11</v>
      </c>
      <c r="E604" s="10">
        <f>COMBIN(A604,D604)/COMBIN(A604-B604,D604)</f>
        <v/>
      </c>
      <c r="F604" s="11">
        <f>ROUNDUP(E604*Controls!$B$4,4)</f>
        <v/>
      </c>
      <c r="G604" s="12">
        <f>F604/E604</f>
        <v/>
      </c>
      <c r="H604" s="10">
        <f>(A604-B604-(D604-1))/(A604-(D604-1))</f>
        <v/>
      </c>
      <c r="I604" s="9">
        <f>A604&amp;'x'&amp;B604</f>
        <v/>
      </c>
      <c r="J604" s="9">
        <f>IF(AND(G604&gt;0.9,G604&lt;1),"OK","CHECK")</f>
        <v/>
      </c>
    </row>
    <row r="605">
      <c r="A605" s="9" t="n">
        <v>36</v>
      </c>
      <c r="B605" s="9" t="n">
        <v>5</v>
      </c>
      <c r="C605" s="9" t="n">
        <v>31</v>
      </c>
      <c r="D605" s="9" t="n">
        <v>12</v>
      </c>
      <c r="E605" s="10">
        <f>COMBIN(A605,D605)/COMBIN(A605-B605,D605)</f>
        <v/>
      </c>
      <c r="F605" s="11">
        <f>ROUNDUP(E605*Controls!$B$4,4)</f>
        <v/>
      </c>
      <c r="G605" s="12">
        <f>F605/E605</f>
        <v/>
      </c>
      <c r="H605" s="10">
        <f>(A605-B605-(D605-1))/(A605-(D605-1))</f>
        <v/>
      </c>
      <c r="I605" s="9">
        <f>A605&amp;'x'&amp;B605</f>
        <v/>
      </c>
      <c r="J605" s="9">
        <f>IF(AND(G605&gt;0.9,G605&lt;1),"OK","CHECK")</f>
        <v/>
      </c>
    </row>
    <row r="606">
      <c r="A606" s="9" t="n">
        <v>36</v>
      </c>
      <c r="B606" s="9" t="n">
        <v>5</v>
      </c>
      <c r="C606" s="9" t="n">
        <v>31</v>
      </c>
      <c r="D606" s="9" t="n">
        <v>13</v>
      </c>
      <c r="E606" s="10">
        <f>COMBIN(A606,D606)/COMBIN(A606-B606,D606)</f>
        <v/>
      </c>
      <c r="F606" s="11">
        <f>ROUNDUP(E606*Controls!$B$4,4)</f>
        <v/>
      </c>
      <c r="G606" s="12">
        <f>F606/E606</f>
        <v/>
      </c>
      <c r="H606" s="10">
        <f>(A606-B606-(D606-1))/(A606-(D606-1))</f>
        <v/>
      </c>
      <c r="I606" s="9">
        <f>A606&amp;'x'&amp;B606</f>
        <v/>
      </c>
      <c r="J606" s="9">
        <f>IF(AND(G606&gt;0.9,G606&lt;1),"OK","CHECK")</f>
        <v/>
      </c>
    </row>
    <row r="607">
      <c r="A607" s="9" t="n">
        <v>36</v>
      </c>
      <c r="B607" s="9" t="n">
        <v>5</v>
      </c>
      <c r="C607" s="9" t="n">
        <v>31</v>
      </c>
      <c r="D607" s="9" t="n">
        <v>14</v>
      </c>
      <c r="E607" s="10">
        <f>COMBIN(A607,D607)/COMBIN(A607-B607,D607)</f>
        <v/>
      </c>
      <c r="F607" s="11">
        <f>ROUNDUP(E607*Controls!$B$4,4)</f>
        <v/>
      </c>
      <c r="G607" s="12">
        <f>F607/E607</f>
        <v/>
      </c>
      <c r="H607" s="10">
        <f>(A607-B607-(D607-1))/(A607-(D607-1))</f>
        <v/>
      </c>
      <c r="I607" s="9">
        <f>A607&amp;'x'&amp;B607</f>
        <v/>
      </c>
      <c r="J607" s="9">
        <f>IF(AND(G607&gt;0.9,G607&lt;1),"OK","CHECK")</f>
        <v/>
      </c>
    </row>
    <row r="608">
      <c r="A608" s="9" t="n">
        <v>36</v>
      </c>
      <c r="B608" s="9" t="n">
        <v>5</v>
      </c>
      <c r="C608" s="9" t="n">
        <v>31</v>
      </c>
      <c r="D608" s="9" t="n">
        <v>15</v>
      </c>
      <c r="E608" s="10">
        <f>COMBIN(A608,D608)/COMBIN(A608-B608,D608)</f>
        <v/>
      </c>
      <c r="F608" s="11">
        <f>ROUNDUP(E608*Controls!$B$4,4)</f>
        <v/>
      </c>
      <c r="G608" s="12">
        <f>F608/E608</f>
        <v/>
      </c>
      <c r="H608" s="10">
        <f>(A608-B608-(D608-1))/(A608-(D608-1))</f>
        <v/>
      </c>
      <c r="I608" s="9">
        <f>A608&amp;'x'&amp;B608</f>
        <v/>
      </c>
      <c r="J608" s="9">
        <f>IF(AND(G608&gt;0.9,G608&lt;1),"OK","CHECK")</f>
        <v/>
      </c>
    </row>
    <row r="609">
      <c r="A609" s="9" t="n">
        <v>36</v>
      </c>
      <c r="B609" s="9" t="n">
        <v>5</v>
      </c>
      <c r="C609" s="9" t="n">
        <v>31</v>
      </c>
      <c r="D609" s="9" t="n">
        <v>16</v>
      </c>
      <c r="E609" s="10">
        <f>COMBIN(A609,D609)/COMBIN(A609-B609,D609)</f>
        <v/>
      </c>
      <c r="F609" s="11">
        <f>ROUNDUP(E609*Controls!$B$4,4)</f>
        <v/>
      </c>
      <c r="G609" s="12">
        <f>F609/E609</f>
        <v/>
      </c>
      <c r="H609" s="10">
        <f>(A609-B609-(D609-1))/(A609-(D609-1))</f>
        <v/>
      </c>
      <c r="I609" s="9">
        <f>A609&amp;'x'&amp;B609</f>
        <v/>
      </c>
      <c r="J609" s="9">
        <f>IF(AND(G609&gt;0.9,G609&lt;1),"OK","CHECK")</f>
        <v/>
      </c>
    </row>
    <row r="610">
      <c r="A610" s="9" t="n">
        <v>36</v>
      </c>
      <c r="B610" s="9" t="n">
        <v>5</v>
      </c>
      <c r="C610" s="9" t="n">
        <v>31</v>
      </c>
      <c r="D610" s="9" t="n">
        <v>17</v>
      </c>
      <c r="E610" s="10">
        <f>COMBIN(A610,D610)/COMBIN(A610-B610,D610)</f>
        <v/>
      </c>
      <c r="F610" s="11">
        <f>ROUNDUP(E610*Controls!$B$4,4)</f>
        <v/>
      </c>
      <c r="G610" s="12">
        <f>F610/E610</f>
        <v/>
      </c>
      <c r="H610" s="10">
        <f>(A610-B610-(D610-1))/(A610-(D610-1))</f>
        <v/>
      </c>
      <c r="I610" s="9">
        <f>A610&amp;'x'&amp;B610</f>
        <v/>
      </c>
      <c r="J610" s="9">
        <f>IF(AND(G610&gt;0.9,G610&lt;1),"OK","CHECK")</f>
        <v/>
      </c>
    </row>
    <row r="611">
      <c r="A611" s="9" t="n">
        <v>36</v>
      </c>
      <c r="B611" s="9" t="n">
        <v>5</v>
      </c>
      <c r="C611" s="9" t="n">
        <v>31</v>
      </c>
      <c r="D611" s="9" t="n">
        <v>18</v>
      </c>
      <c r="E611" s="10">
        <f>COMBIN(A611,D611)/COMBIN(A611-B611,D611)</f>
        <v/>
      </c>
      <c r="F611" s="11">
        <f>ROUNDUP(E611*Controls!$B$4,4)</f>
        <v/>
      </c>
      <c r="G611" s="12">
        <f>F611/E611</f>
        <v/>
      </c>
      <c r="H611" s="10">
        <f>(A611-B611-(D611-1))/(A611-(D611-1))</f>
        <v/>
      </c>
      <c r="I611" s="9">
        <f>A611&amp;'x'&amp;B611</f>
        <v/>
      </c>
      <c r="J611" s="9">
        <f>IF(AND(G611&gt;0.9,G611&lt;1),"OK","CHECK")</f>
        <v/>
      </c>
    </row>
    <row r="612">
      <c r="A612" s="9" t="n">
        <v>36</v>
      </c>
      <c r="B612" s="9" t="n">
        <v>5</v>
      </c>
      <c r="C612" s="9" t="n">
        <v>31</v>
      </c>
      <c r="D612" s="9" t="n">
        <v>19</v>
      </c>
      <c r="E612" s="10">
        <f>COMBIN(A612,D612)/COMBIN(A612-B612,D612)</f>
        <v/>
      </c>
      <c r="F612" s="11">
        <f>ROUNDUP(E612*Controls!$B$4,4)</f>
        <v/>
      </c>
      <c r="G612" s="12">
        <f>F612/E612</f>
        <v/>
      </c>
      <c r="H612" s="10">
        <f>(A612-B612-(D612-1))/(A612-(D612-1))</f>
        <v/>
      </c>
      <c r="I612" s="9">
        <f>A612&amp;'x'&amp;B612</f>
        <v/>
      </c>
      <c r="J612" s="9">
        <f>IF(AND(G612&gt;0.9,G612&lt;1),"OK","CHECK")</f>
        <v/>
      </c>
    </row>
    <row r="613">
      <c r="A613" s="9" t="n">
        <v>36</v>
      </c>
      <c r="B613" s="9" t="n">
        <v>5</v>
      </c>
      <c r="C613" s="9" t="n">
        <v>31</v>
      </c>
      <c r="D613" s="9" t="n">
        <v>20</v>
      </c>
      <c r="E613" s="10">
        <f>COMBIN(A613,D613)/COMBIN(A613-B613,D613)</f>
        <v/>
      </c>
      <c r="F613" s="11">
        <f>ROUNDUP(E613*Controls!$B$4,4)</f>
        <v/>
      </c>
      <c r="G613" s="12">
        <f>F613/E613</f>
        <v/>
      </c>
      <c r="H613" s="10">
        <f>(A613-B613-(D613-1))/(A613-(D613-1))</f>
        <v/>
      </c>
      <c r="I613" s="9">
        <f>A613&amp;'x'&amp;B613</f>
        <v/>
      </c>
      <c r="J613" s="9">
        <f>IF(AND(G613&gt;0.9,G613&lt;1),"OK","CHECK")</f>
        <v/>
      </c>
    </row>
    <row r="614">
      <c r="A614" s="9" t="n">
        <v>36</v>
      </c>
      <c r="B614" s="9" t="n">
        <v>5</v>
      </c>
      <c r="C614" s="9" t="n">
        <v>31</v>
      </c>
      <c r="D614" s="9" t="n">
        <v>21</v>
      </c>
      <c r="E614" s="10">
        <f>COMBIN(A614,D614)/COMBIN(A614-B614,D614)</f>
        <v/>
      </c>
      <c r="F614" s="11">
        <f>ROUNDUP(E614*Controls!$B$4,4)</f>
        <v/>
      </c>
      <c r="G614" s="12">
        <f>F614/E614</f>
        <v/>
      </c>
      <c r="H614" s="10">
        <f>(A614-B614-(D614-1))/(A614-(D614-1))</f>
        <v/>
      </c>
      <c r="I614" s="9">
        <f>A614&amp;'x'&amp;B614</f>
        <v/>
      </c>
      <c r="J614" s="9">
        <f>IF(AND(G614&gt;0.9,G614&lt;1),"OK","CHECK")</f>
        <v/>
      </c>
    </row>
    <row r="615">
      <c r="A615" s="9" t="n">
        <v>36</v>
      </c>
      <c r="B615" s="9" t="n">
        <v>5</v>
      </c>
      <c r="C615" s="9" t="n">
        <v>31</v>
      </c>
      <c r="D615" s="9" t="n">
        <v>22</v>
      </c>
      <c r="E615" s="10">
        <f>COMBIN(A615,D615)/COMBIN(A615-B615,D615)</f>
        <v/>
      </c>
      <c r="F615" s="11">
        <f>ROUNDUP(E615*Controls!$B$4,4)</f>
        <v/>
      </c>
      <c r="G615" s="12">
        <f>F615/E615</f>
        <v/>
      </c>
      <c r="H615" s="10">
        <f>(A615-B615-(D615-1))/(A615-(D615-1))</f>
        <v/>
      </c>
      <c r="I615" s="9">
        <f>A615&amp;'x'&amp;B615</f>
        <v/>
      </c>
      <c r="J615" s="9">
        <f>IF(AND(G615&gt;0.9,G615&lt;1),"OK","CHECK")</f>
        <v/>
      </c>
    </row>
    <row r="616">
      <c r="A616" s="9" t="n">
        <v>36</v>
      </c>
      <c r="B616" s="9" t="n">
        <v>5</v>
      </c>
      <c r="C616" s="9" t="n">
        <v>31</v>
      </c>
      <c r="D616" s="9" t="n">
        <v>23</v>
      </c>
      <c r="E616" s="10">
        <f>COMBIN(A616,D616)/COMBIN(A616-B616,D616)</f>
        <v/>
      </c>
      <c r="F616" s="11">
        <f>ROUNDUP(E616*Controls!$B$4,4)</f>
        <v/>
      </c>
      <c r="G616" s="12">
        <f>F616/E616</f>
        <v/>
      </c>
      <c r="H616" s="10">
        <f>(A616-B616-(D616-1))/(A616-(D616-1))</f>
        <v/>
      </c>
      <c r="I616" s="9">
        <f>A616&amp;'x'&amp;B616</f>
        <v/>
      </c>
      <c r="J616" s="9">
        <f>IF(AND(G616&gt;0.9,G616&lt;1),"OK","CHECK")</f>
        <v/>
      </c>
    </row>
    <row r="617">
      <c r="A617" s="9" t="n">
        <v>36</v>
      </c>
      <c r="B617" s="9" t="n">
        <v>5</v>
      </c>
      <c r="C617" s="9" t="n">
        <v>31</v>
      </c>
      <c r="D617" s="9" t="n">
        <v>24</v>
      </c>
      <c r="E617" s="10">
        <f>COMBIN(A617,D617)/COMBIN(A617-B617,D617)</f>
        <v/>
      </c>
      <c r="F617" s="11">
        <f>ROUNDUP(E617*Controls!$B$4,4)</f>
        <v/>
      </c>
      <c r="G617" s="12">
        <f>F617/E617</f>
        <v/>
      </c>
      <c r="H617" s="10">
        <f>(A617-B617-(D617-1))/(A617-(D617-1))</f>
        <v/>
      </c>
      <c r="I617" s="9">
        <f>A617&amp;'x'&amp;B617</f>
        <v/>
      </c>
      <c r="J617" s="9">
        <f>IF(AND(G617&gt;0.9,G617&lt;1),"OK","CHECK")</f>
        <v/>
      </c>
    </row>
    <row r="618">
      <c r="A618" s="9" t="n">
        <v>36</v>
      </c>
      <c r="B618" s="9" t="n">
        <v>5</v>
      </c>
      <c r="C618" s="9" t="n">
        <v>31</v>
      </c>
      <c r="D618" s="9" t="n">
        <v>25</v>
      </c>
      <c r="E618" s="10">
        <f>COMBIN(A618,D618)/COMBIN(A618-B618,D618)</f>
        <v/>
      </c>
      <c r="F618" s="11">
        <f>ROUNDUP(E618*Controls!$B$4,4)</f>
        <v/>
      </c>
      <c r="G618" s="12">
        <f>F618/E618</f>
        <v/>
      </c>
      <c r="H618" s="10">
        <f>(A618-B618-(D618-1))/(A618-(D618-1))</f>
        <v/>
      </c>
      <c r="I618" s="9">
        <f>A618&amp;'x'&amp;B618</f>
        <v/>
      </c>
      <c r="J618" s="9">
        <f>IF(AND(G618&gt;0.9,G618&lt;1),"OK","CHECK")</f>
        <v/>
      </c>
    </row>
    <row r="619">
      <c r="A619" s="9" t="n">
        <v>36</v>
      </c>
      <c r="B619" s="9" t="n">
        <v>5</v>
      </c>
      <c r="C619" s="9" t="n">
        <v>31</v>
      </c>
      <c r="D619" s="9" t="n">
        <v>26</v>
      </c>
      <c r="E619" s="10">
        <f>COMBIN(A619,D619)/COMBIN(A619-B619,D619)</f>
        <v/>
      </c>
      <c r="F619" s="11">
        <f>ROUNDUP(E619*Controls!$B$4,4)</f>
        <v/>
      </c>
      <c r="G619" s="12">
        <f>F619/E619</f>
        <v/>
      </c>
      <c r="H619" s="10">
        <f>(A619-B619-(D619-1))/(A619-(D619-1))</f>
        <v/>
      </c>
      <c r="I619" s="9">
        <f>A619&amp;'x'&amp;B619</f>
        <v/>
      </c>
      <c r="J619" s="9">
        <f>IF(AND(G619&gt;0.9,G619&lt;1),"OK","CHECK")</f>
        <v/>
      </c>
    </row>
    <row r="620">
      <c r="A620" s="9" t="n">
        <v>36</v>
      </c>
      <c r="B620" s="9" t="n">
        <v>5</v>
      </c>
      <c r="C620" s="9" t="n">
        <v>31</v>
      </c>
      <c r="D620" s="9" t="n">
        <v>27</v>
      </c>
      <c r="E620" s="10">
        <f>COMBIN(A620,D620)/COMBIN(A620-B620,D620)</f>
        <v/>
      </c>
      <c r="F620" s="11">
        <f>ROUNDUP(E620*Controls!$B$4,4)</f>
        <v/>
      </c>
      <c r="G620" s="12">
        <f>F620/E620</f>
        <v/>
      </c>
      <c r="H620" s="10">
        <f>(A620-B620-(D620-1))/(A620-(D620-1))</f>
        <v/>
      </c>
      <c r="I620" s="9">
        <f>A620&amp;'x'&amp;B620</f>
        <v/>
      </c>
      <c r="J620" s="9">
        <f>IF(AND(G620&gt;0.9,G620&lt;1),"OK","CHECK")</f>
        <v/>
      </c>
    </row>
    <row r="621">
      <c r="A621" s="9" t="n">
        <v>36</v>
      </c>
      <c r="B621" s="9" t="n">
        <v>5</v>
      </c>
      <c r="C621" s="9" t="n">
        <v>31</v>
      </c>
      <c r="D621" s="9" t="n">
        <v>28</v>
      </c>
      <c r="E621" s="10">
        <f>COMBIN(A621,D621)/COMBIN(A621-B621,D621)</f>
        <v/>
      </c>
      <c r="F621" s="11">
        <f>ROUNDUP(E621*Controls!$B$4,4)</f>
        <v/>
      </c>
      <c r="G621" s="12">
        <f>F621/E621</f>
        <v/>
      </c>
      <c r="H621" s="10">
        <f>(A621-B621-(D621-1))/(A621-(D621-1))</f>
        <v/>
      </c>
      <c r="I621" s="9">
        <f>A621&amp;'x'&amp;B621</f>
        <v/>
      </c>
      <c r="J621" s="9">
        <f>IF(AND(G621&gt;0.9,G621&lt;1),"OK","CHECK")</f>
        <v/>
      </c>
    </row>
    <row r="622">
      <c r="A622" s="9" t="n">
        <v>36</v>
      </c>
      <c r="B622" s="9" t="n">
        <v>5</v>
      </c>
      <c r="C622" s="9" t="n">
        <v>31</v>
      </c>
      <c r="D622" s="9" t="n">
        <v>29</v>
      </c>
      <c r="E622" s="10">
        <f>COMBIN(A622,D622)/COMBIN(A622-B622,D622)</f>
        <v/>
      </c>
      <c r="F622" s="11">
        <f>ROUNDUP(E622*Controls!$B$4,4)</f>
        <v/>
      </c>
      <c r="G622" s="12">
        <f>F622/E622</f>
        <v/>
      </c>
      <c r="H622" s="10">
        <f>(A622-B622-(D622-1))/(A622-(D622-1))</f>
        <v/>
      </c>
      <c r="I622" s="9">
        <f>A622&amp;'x'&amp;B622</f>
        <v/>
      </c>
      <c r="J622" s="9">
        <f>IF(AND(G622&gt;0.9,G622&lt;1),"OK","CHECK")</f>
        <v/>
      </c>
    </row>
    <row r="623">
      <c r="A623" s="9" t="n">
        <v>36</v>
      </c>
      <c r="B623" s="9" t="n">
        <v>5</v>
      </c>
      <c r="C623" s="9" t="n">
        <v>31</v>
      </c>
      <c r="D623" s="9" t="n">
        <v>30</v>
      </c>
      <c r="E623" s="10">
        <f>COMBIN(A623,D623)/COMBIN(A623-B623,D623)</f>
        <v/>
      </c>
      <c r="F623" s="11">
        <f>ROUNDUP(E623*Controls!$B$4,4)</f>
        <v/>
      </c>
      <c r="G623" s="12">
        <f>F623/E623</f>
        <v/>
      </c>
      <c r="H623" s="10">
        <f>(A623-B623-(D623-1))/(A623-(D623-1))</f>
        <v/>
      </c>
      <c r="I623" s="9">
        <f>A623&amp;'x'&amp;B623</f>
        <v/>
      </c>
      <c r="J623" s="9">
        <f>IF(AND(G623&gt;0.9,G623&lt;1),"OK","CHECK")</f>
        <v/>
      </c>
    </row>
    <row r="624">
      <c r="A624" s="9" t="n">
        <v>36</v>
      </c>
      <c r="B624" s="9" t="n">
        <v>5</v>
      </c>
      <c r="C624" s="9" t="n">
        <v>31</v>
      </c>
      <c r="D624" s="9" t="n">
        <v>31</v>
      </c>
      <c r="E624" s="10">
        <f>COMBIN(A624,D624)/COMBIN(A624-B624,D624)</f>
        <v/>
      </c>
      <c r="F624" s="11">
        <f>ROUNDUP(E624*Controls!$B$4,4)</f>
        <v/>
      </c>
      <c r="G624" s="12">
        <f>F624/E624</f>
        <v/>
      </c>
      <c r="H624" s="10">
        <f>(A624-B624-(D624-1))/(A624-(D624-1))</f>
        <v/>
      </c>
      <c r="I624" s="9">
        <f>A624&amp;'x'&amp;B624</f>
        <v/>
      </c>
      <c r="J624" s="9">
        <f>IF(AND(G624&gt;0.9,G624&lt;1),"OK","CHECK")</f>
        <v/>
      </c>
    </row>
    <row r="625">
      <c r="A625" s="9" t="n">
        <v>36</v>
      </c>
      <c r="B625" s="9" t="n">
        <v>6</v>
      </c>
      <c r="C625" s="9" t="n">
        <v>30</v>
      </c>
      <c r="D625" s="9" t="n">
        <v>1</v>
      </c>
      <c r="E625" s="10">
        <f>COMBIN(A625,D625)/COMBIN(A625-B625,D625)</f>
        <v/>
      </c>
      <c r="F625" s="11">
        <f>ROUNDUP(E625*Controls!$B$4,4)</f>
        <v/>
      </c>
      <c r="G625" s="12">
        <f>F625/E625</f>
        <v/>
      </c>
      <c r="H625" s="10">
        <f>(A625-B625-(D625-1))/(A625-(D625-1))</f>
        <v/>
      </c>
      <c r="I625" s="9">
        <f>A625&amp;'x'&amp;B625</f>
        <v/>
      </c>
      <c r="J625" s="9">
        <f>IF(AND(G625&gt;0.9,G625&lt;1),"OK","CHECK")</f>
        <v/>
      </c>
    </row>
    <row r="626">
      <c r="A626" s="9" t="n">
        <v>36</v>
      </c>
      <c r="B626" s="9" t="n">
        <v>6</v>
      </c>
      <c r="C626" s="9" t="n">
        <v>30</v>
      </c>
      <c r="D626" s="9" t="n">
        <v>2</v>
      </c>
      <c r="E626" s="10">
        <f>COMBIN(A626,D626)/COMBIN(A626-B626,D626)</f>
        <v/>
      </c>
      <c r="F626" s="11">
        <f>ROUNDUP(E626*Controls!$B$4,4)</f>
        <v/>
      </c>
      <c r="G626" s="12">
        <f>F626/E626</f>
        <v/>
      </c>
      <c r="H626" s="10">
        <f>(A626-B626-(D626-1))/(A626-(D626-1))</f>
        <v/>
      </c>
      <c r="I626" s="9">
        <f>A626&amp;'x'&amp;B626</f>
        <v/>
      </c>
      <c r="J626" s="9">
        <f>IF(AND(G626&gt;0.9,G626&lt;1),"OK","CHECK")</f>
        <v/>
      </c>
    </row>
    <row r="627">
      <c r="A627" s="9" t="n">
        <v>36</v>
      </c>
      <c r="B627" s="9" t="n">
        <v>6</v>
      </c>
      <c r="C627" s="9" t="n">
        <v>30</v>
      </c>
      <c r="D627" s="9" t="n">
        <v>3</v>
      </c>
      <c r="E627" s="10">
        <f>COMBIN(A627,D627)/COMBIN(A627-B627,D627)</f>
        <v/>
      </c>
      <c r="F627" s="11">
        <f>ROUNDUP(E627*Controls!$B$4,4)</f>
        <v/>
      </c>
      <c r="G627" s="12">
        <f>F627/E627</f>
        <v/>
      </c>
      <c r="H627" s="10">
        <f>(A627-B627-(D627-1))/(A627-(D627-1))</f>
        <v/>
      </c>
      <c r="I627" s="9">
        <f>A627&amp;'x'&amp;B627</f>
        <v/>
      </c>
      <c r="J627" s="9">
        <f>IF(AND(G627&gt;0.9,G627&lt;1),"OK","CHECK")</f>
        <v/>
      </c>
    </row>
    <row r="628">
      <c r="A628" s="9" t="n">
        <v>36</v>
      </c>
      <c r="B628" s="9" t="n">
        <v>6</v>
      </c>
      <c r="C628" s="9" t="n">
        <v>30</v>
      </c>
      <c r="D628" s="9" t="n">
        <v>4</v>
      </c>
      <c r="E628" s="10">
        <f>COMBIN(A628,D628)/COMBIN(A628-B628,D628)</f>
        <v/>
      </c>
      <c r="F628" s="11">
        <f>ROUNDUP(E628*Controls!$B$4,4)</f>
        <v/>
      </c>
      <c r="G628" s="12">
        <f>F628/E628</f>
        <v/>
      </c>
      <c r="H628" s="10">
        <f>(A628-B628-(D628-1))/(A628-(D628-1))</f>
        <v/>
      </c>
      <c r="I628" s="9">
        <f>A628&amp;'x'&amp;B628</f>
        <v/>
      </c>
      <c r="J628" s="9">
        <f>IF(AND(G628&gt;0.9,G628&lt;1),"OK","CHECK")</f>
        <v/>
      </c>
    </row>
    <row r="629">
      <c r="A629" s="9" t="n">
        <v>36</v>
      </c>
      <c r="B629" s="9" t="n">
        <v>6</v>
      </c>
      <c r="C629" s="9" t="n">
        <v>30</v>
      </c>
      <c r="D629" s="9" t="n">
        <v>5</v>
      </c>
      <c r="E629" s="10">
        <f>COMBIN(A629,D629)/COMBIN(A629-B629,D629)</f>
        <v/>
      </c>
      <c r="F629" s="11">
        <f>ROUNDUP(E629*Controls!$B$4,4)</f>
        <v/>
      </c>
      <c r="G629" s="12">
        <f>F629/E629</f>
        <v/>
      </c>
      <c r="H629" s="10">
        <f>(A629-B629-(D629-1))/(A629-(D629-1))</f>
        <v/>
      </c>
      <c r="I629" s="9">
        <f>A629&amp;'x'&amp;B629</f>
        <v/>
      </c>
      <c r="J629" s="9">
        <f>IF(AND(G629&gt;0.9,G629&lt;1),"OK","CHECK")</f>
        <v/>
      </c>
    </row>
    <row r="630">
      <c r="A630" s="9" t="n">
        <v>36</v>
      </c>
      <c r="B630" s="9" t="n">
        <v>6</v>
      </c>
      <c r="C630" s="9" t="n">
        <v>30</v>
      </c>
      <c r="D630" s="9" t="n">
        <v>6</v>
      </c>
      <c r="E630" s="10">
        <f>COMBIN(A630,D630)/COMBIN(A630-B630,D630)</f>
        <v/>
      </c>
      <c r="F630" s="11">
        <f>ROUNDUP(E630*Controls!$B$4,4)</f>
        <v/>
      </c>
      <c r="G630" s="12">
        <f>F630/E630</f>
        <v/>
      </c>
      <c r="H630" s="10">
        <f>(A630-B630-(D630-1))/(A630-(D630-1))</f>
        <v/>
      </c>
      <c r="I630" s="9">
        <f>A630&amp;'x'&amp;B630</f>
        <v/>
      </c>
      <c r="J630" s="9">
        <f>IF(AND(G630&gt;0.9,G630&lt;1),"OK","CHECK")</f>
        <v/>
      </c>
    </row>
    <row r="631">
      <c r="A631" s="9" t="n">
        <v>36</v>
      </c>
      <c r="B631" s="9" t="n">
        <v>6</v>
      </c>
      <c r="C631" s="9" t="n">
        <v>30</v>
      </c>
      <c r="D631" s="9" t="n">
        <v>7</v>
      </c>
      <c r="E631" s="10">
        <f>COMBIN(A631,D631)/COMBIN(A631-B631,D631)</f>
        <v/>
      </c>
      <c r="F631" s="11">
        <f>ROUNDUP(E631*Controls!$B$4,4)</f>
        <v/>
      </c>
      <c r="G631" s="12">
        <f>F631/E631</f>
        <v/>
      </c>
      <c r="H631" s="10">
        <f>(A631-B631-(D631-1))/(A631-(D631-1))</f>
        <v/>
      </c>
      <c r="I631" s="9">
        <f>A631&amp;'x'&amp;B631</f>
        <v/>
      </c>
      <c r="J631" s="9">
        <f>IF(AND(G631&gt;0.9,G631&lt;1),"OK","CHECK")</f>
        <v/>
      </c>
    </row>
    <row r="632">
      <c r="A632" s="9" t="n">
        <v>36</v>
      </c>
      <c r="B632" s="9" t="n">
        <v>6</v>
      </c>
      <c r="C632" s="9" t="n">
        <v>30</v>
      </c>
      <c r="D632" s="9" t="n">
        <v>8</v>
      </c>
      <c r="E632" s="10">
        <f>COMBIN(A632,D632)/COMBIN(A632-B632,D632)</f>
        <v/>
      </c>
      <c r="F632" s="11">
        <f>ROUNDUP(E632*Controls!$B$4,4)</f>
        <v/>
      </c>
      <c r="G632" s="12">
        <f>F632/E632</f>
        <v/>
      </c>
      <c r="H632" s="10">
        <f>(A632-B632-(D632-1))/(A632-(D632-1))</f>
        <v/>
      </c>
      <c r="I632" s="9">
        <f>A632&amp;'x'&amp;B632</f>
        <v/>
      </c>
      <c r="J632" s="9">
        <f>IF(AND(G632&gt;0.9,G632&lt;1),"OK","CHECK")</f>
        <v/>
      </c>
    </row>
    <row r="633">
      <c r="A633" s="9" t="n">
        <v>36</v>
      </c>
      <c r="B633" s="9" t="n">
        <v>6</v>
      </c>
      <c r="C633" s="9" t="n">
        <v>30</v>
      </c>
      <c r="D633" s="9" t="n">
        <v>9</v>
      </c>
      <c r="E633" s="10">
        <f>COMBIN(A633,D633)/COMBIN(A633-B633,D633)</f>
        <v/>
      </c>
      <c r="F633" s="11">
        <f>ROUNDUP(E633*Controls!$B$4,4)</f>
        <v/>
      </c>
      <c r="G633" s="12">
        <f>F633/E633</f>
        <v/>
      </c>
      <c r="H633" s="10">
        <f>(A633-B633-(D633-1))/(A633-(D633-1))</f>
        <v/>
      </c>
      <c r="I633" s="9">
        <f>A633&amp;'x'&amp;B633</f>
        <v/>
      </c>
      <c r="J633" s="9">
        <f>IF(AND(G633&gt;0.9,G633&lt;1),"OK","CHECK")</f>
        <v/>
      </c>
    </row>
    <row r="634">
      <c r="A634" s="9" t="n">
        <v>36</v>
      </c>
      <c r="B634" s="9" t="n">
        <v>6</v>
      </c>
      <c r="C634" s="9" t="n">
        <v>30</v>
      </c>
      <c r="D634" s="9" t="n">
        <v>10</v>
      </c>
      <c r="E634" s="10">
        <f>COMBIN(A634,D634)/COMBIN(A634-B634,D634)</f>
        <v/>
      </c>
      <c r="F634" s="11">
        <f>ROUNDUP(E634*Controls!$B$4,4)</f>
        <v/>
      </c>
      <c r="G634" s="12">
        <f>F634/E634</f>
        <v/>
      </c>
      <c r="H634" s="10">
        <f>(A634-B634-(D634-1))/(A634-(D634-1))</f>
        <v/>
      </c>
      <c r="I634" s="9">
        <f>A634&amp;'x'&amp;B634</f>
        <v/>
      </c>
      <c r="J634" s="9">
        <f>IF(AND(G634&gt;0.9,G634&lt;1),"OK","CHECK")</f>
        <v/>
      </c>
    </row>
    <row r="635">
      <c r="A635" s="9" t="n">
        <v>36</v>
      </c>
      <c r="B635" s="9" t="n">
        <v>6</v>
      </c>
      <c r="C635" s="9" t="n">
        <v>30</v>
      </c>
      <c r="D635" s="9" t="n">
        <v>11</v>
      </c>
      <c r="E635" s="10">
        <f>COMBIN(A635,D635)/COMBIN(A635-B635,D635)</f>
        <v/>
      </c>
      <c r="F635" s="11">
        <f>ROUNDUP(E635*Controls!$B$4,4)</f>
        <v/>
      </c>
      <c r="G635" s="12">
        <f>F635/E635</f>
        <v/>
      </c>
      <c r="H635" s="10">
        <f>(A635-B635-(D635-1))/(A635-(D635-1))</f>
        <v/>
      </c>
      <c r="I635" s="9">
        <f>A635&amp;'x'&amp;B635</f>
        <v/>
      </c>
      <c r="J635" s="9">
        <f>IF(AND(G635&gt;0.9,G635&lt;1),"OK","CHECK")</f>
        <v/>
      </c>
    </row>
    <row r="636">
      <c r="A636" s="9" t="n">
        <v>36</v>
      </c>
      <c r="B636" s="9" t="n">
        <v>6</v>
      </c>
      <c r="C636" s="9" t="n">
        <v>30</v>
      </c>
      <c r="D636" s="9" t="n">
        <v>12</v>
      </c>
      <c r="E636" s="10">
        <f>COMBIN(A636,D636)/COMBIN(A636-B636,D636)</f>
        <v/>
      </c>
      <c r="F636" s="11">
        <f>ROUNDUP(E636*Controls!$B$4,4)</f>
        <v/>
      </c>
      <c r="G636" s="12">
        <f>F636/E636</f>
        <v/>
      </c>
      <c r="H636" s="10">
        <f>(A636-B636-(D636-1))/(A636-(D636-1))</f>
        <v/>
      </c>
      <c r="I636" s="9">
        <f>A636&amp;'x'&amp;B636</f>
        <v/>
      </c>
      <c r="J636" s="9">
        <f>IF(AND(G636&gt;0.9,G636&lt;1),"OK","CHECK")</f>
        <v/>
      </c>
    </row>
    <row r="637">
      <c r="A637" s="9" t="n">
        <v>36</v>
      </c>
      <c r="B637" s="9" t="n">
        <v>6</v>
      </c>
      <c r="C637" s="9" t="n">
        <v>30</v>
      </c>
      <c r="D637" s="9" t="n">
        <v>13</v>
      </c>
      <c r="E637" s="10">
        <f>COMBIN(A637,D637)/COMBIN(A637-B637,D637)</f>
        <v/>
      </c>
      <c r="F637" s="11">
        <f>ROUNDUP(E637*Controls!$B$4,4)</f>
        <v/>
      </c>
      <c r="G637" s="12">
        <f>F637/E637</f>
        <v/>
      </c>
      <c r="H637" s="10">
        <f>(A637-B637-(D637-1))/(A637-(D637-1))</f>
        <v/>
      </c>
      <c r="I637" s="9">
        <f>A637&amp;'x'&amp;B637</f>
        <v/>
      </c>
      <c r="J637" s="9">
        <f>IF(AND(G637&gt;0.9,G637&lt;1),"OK","CHECK")</f>
        <v/>
      </c>
    </row>
    <row r="638">
      <c r="A638" s="9" t="n">
        <v>36</v>
      </c>
      <c r="B638" s="9" t="n">
        <v>6</v>
      </c>
      <c r="C638" s="9" t="n">
        <v>30</v>
      </c>
      <c r="D638" s="9" t="n">
        <v>14</v>
      </c>
      <c r="E638" s="10">
        <f>COMBIN(A638,D638)/COMBIN(A638-B638,D638)</f>
        <v/>
      </c>
      <c r="F638" s="11">
        <f>ROUNDUP(E638*Controls!$B$4,4)</f>
        <v/>
      </c>
      <c r="G638" s="12">
        <f>F638/E638</f>
        <v/>
      </c>
      <c r="H638" s="10">
        <f>(A638-B638-(D638-1))/(A638-(D638-1))</f>
        <v/>
      </c>
      <c r="I638" s="9">
        <f>A638&amp;'x'&amp;B638</f>
        <v/>
      </c>
      <c r="J638" s="9">
        <f>IF(AND(G638&gt;0.9,G638&lt;1),"OK","CHECK")</f>
        <v/>
      </c>
    </row>
    <row r="639">
      <c r="A639" s="9" t="n">
        <v>36</v>
      </c>
      <c r="B639" s="9" t="n">
        <v>6</v>
      </c>
      <c r="C639" s="9" t="n">
        <v>30</v>
      </c>
      <c r="D639" s="9" t="n">
        <v>15</v>
      </c>
      <c r="E639" s="10">
        <f>COMBIN(A639,D639)/COMBIN(A639-B639,D639)</f>
        <v/>
      </c>
      <c r="F639" s="11">
        <f>ROUNDUP(E639*Controls!$B$4,4)</f>
        <v/>
      </c>
      <c r="G639" s="12">
        <f>F639/E639</f>
        <v/>
      </c>
      <c r="H639" s="10">
        <f>(A639-B639-(D639-1))/(A639-(D639-1))</f>
        <v/>
      </c>
      <c r="I639" s="9">
        <f>A639&amp;'x'&amp;B639</f>
        <v/>
      </c>
      <c r="J639" s="9">
        <f>IF(AND(G639&gt;0.9,G639&lt;1),"OK","CHECK")</f>
        <v/>
      </c>
    </row>
    <row r="640">
      <c r="A640" s="9" t="n">
        <v>36</v>
      </c>
      <c r="B640" s="9" t="n">
        <v>6</v>
      </c>
      <c r="C640" s="9" t="n">
        <v>30</v>
      </c>
      <c r="D640" s="9" t="n">
        <v>16</v>
      </c>
      <c r="E640" s="10">
        <f>COMBIN(A640,D640)/COMBIN(A640-B640,D640)</f>
        <v/>
      </c>
      <c r="F640" s="11">
        <f>ROUNDUP(E640*Controls!$B$4,4)</f>
        <v/>
      </c>
      <c r="G640" s="12">
        <f>F640/E640</f>
        <v/>
      </c>
      <c r="H640" s="10">
        <f>(A640-B640-(D640-1))/(A640-(D640-1))</f>
        <v/>
      </c>
      <c r="I640" s="9">
        <f>A640&amp;'x'&amp;B640</f>
        <v/>
      </c>
      <c r="J640" s="9">
        <f>IF(AND(G640&gt;0.9,G640&lt;1),"OK","CHECK")</f>
        <v/>
      </c>
    </row>
    <row r="641">
      <c r="A641" s="9" t="n">
        <v>36</v>
      </c>
      <c r="B641" s="9" t="n">
        <v>6</v>
      </c>
      <c r="C641" s="9" t="n">
        <v>30</v>
      </c>
      <c r="D641" s="9" t="n">
        <v>17</v>
      </c>
      <c r="E641" s="10">
        <f>COMBIN(A641,D641)/COMBIN(A641-B641,D641)</f>
        <v/>
      </c>
      <c r="F641" s="11">
        <f>ROUNDUP(E641*Controls!$B$4,4)</f>
        <v/>
      </c>
      <c r="G641" s="12">
        <f>F641/E641</f>
        <v/>
      </c>
      <c r="H641" s="10">
        <f>(A641-B641-(D641-1))/(A641-(D641-1))</f>
        <v/>
      </c>
      <c r="I641" s="9">
        <f>A641&amp;'x'&amp;B641</f>
        <v/>
      </c>
      <c r="J641" s="9">
        <f>IF(AND(G641&gt;0.9,G641&lt;1),"OK","CHECK")</f>
        <v/>
      </c>
    </row>
    <row r="642">
      <c r="A642" s="9" t="n">
        <v>36</v>
      </c>
      <c r="B642" s="9" t="n">
        <v>6</v>
      </c>
      <c r="C642" s="9" t="n">
        <v>30</v>
      </c>
      <c r="D642" s="9" t="n">
        <v>18</v>
      </c>
      <c r="E642" s="10">
        <f>COMBIN(A642,D642)/COMBIN(A642-B642,D642)</f>
        <v/>
      </c>
      <c r="F642" s="11">
        <f>ROUNDUP(E642*Controls!$B$4,4)</f>
        <v/>
      </c>
      <c r="G642" s="12">
        <f>F642/E642</f>
        <v/>
      </c>
      <c r="H642" s="10">
        <f>(A642-B642-(D642-1))/(A642-(D642-1))</f>
        <v/>
      </c>
      <c r="I642" s="9">
        <f>A642&amp;'x'&amp;B642</f>
        <v/>
      </c>
      <c r="J642" s="9">
        <f>IF(AND(G642&gt;0.9,G642&lt;1),"OK","CHECK")</f>
        <v/>
      </c>
    </row>
    <row r="643">
      <c r="A643" s="9" t="n">
        <v>36</v>
      </c>
      <c r="B643" s="9" t="n">
        <v>6</v>
      </c>
      <c r="C643" s="9" t="n">
        <v>30</v>
      </c>
      <c r="D643" s="9" t="n">
        <v>19</v>
      </c>
      <c r="E643" s="10">
        <f>COMBIN(A643,D643)/COMBIN(A643-B643,D643)</f>
        <v/>
      </c>
      <c r="F643" s="11">
        <f>ROUNDUP(E643*Controls!$B$4,4)</f>
        <v/>
      </c>
      <c r="G643" s="12">
        <f>F643/E643</f>
        <v/>
      </c>
      <c r="H643" s="10">
        <f>(A643-B643-(D643-1))/(A643-(D643-1))</f>
        <v/>
      </c>
      <c r="I643" s="9">
        <f>A643&amp;'x'&amp;B643</f>
        <v/>
      </c>
      <c r="J643" s="9">
        <f>IF(AND(G643&gt;0.9,G643&lt;1),"OK","CHECK")</f>
        <v/>
      </c>
    </row>
    <row r="644">
      <c r="A644" s="9" t="n">
        <v>36</v>
      </c>
      <c r="B644" s="9" t="n">
        <v>6</v>
      </c>
      <c r="C644" s="9" t="n">
        <v>30</v>
      </c>
      <c r="D644" s="9" t="n">
        <v>20</v>
      </c>
      <c r="E644" s="10">
        <f>COMBIN(A644,D644)/COMBIN(A644-B644,D644)</f>
        <v/>
      </c>
      <c r="F644" s="11">
        <f>ROUNDUP(E644*Controls!$B$4,4)</f>
        <v/>
      </c>
      <c r="G644" s="12">
        <f>F644/E644</f>
        <v/>
      </c>
      <c r="H644" s="10">
        <f>(A644-B644-(D644-1))/(A644-(D644-1))</f>
        <v/>
      </c>
      <c r="I644" s="9">
        <f>A644&amp;'x'&amp;B644</f>
        <v/>
      </c>
      <c r="J644" s="9">
        <f>IF(AND(G644&gt;0.9,G644&lt;1),"OK","CHECK")</f>
        <v/>
      </c>
    </row>
    <row r="645">
      <c r="A645" s="9" t="n">
        <v>36</v>
      </c>
      <c r="B645" s="9" t="n">
        <v>6</v>
      </c>
      <c r="C645" s="9" t="n">
        <v>30</v>
      </c>
      <c r="D645" s="9" t="n">
        <v>21</v>
      </c>
      <c r="E645" s="10">
        <f>COMBIN(A645,D645)/COMBIN(A645-B645,D645)</f>
        <v/>
      </c>
      <c r="F645" s="11">
        <f>ROUNDUP(E645*Controls!$B$4,4)</f>
        <v/>
      </c>
      <c r="G645" s="12">
        <f>F645/E645</f>
        <v/>
      </c>
      <c r="H645" s="10">
        <f>(A645-B645-(D645-1))/(A645-(D645-1))</f>
        <v/>
      </c>
      <c r="I645" s="9">
        <f>A645&amp;'x'&amp;B645</f>
        <v/>
      </c>
      <c r="J645" s="9">
        <f>IF(AND(G645&gt;0.9,G645&lt;1),"OK","CHECK")</f>
        <v/>
      </c>
    </row>
    <row r="646">
      <c r="A646" s="9" t="n">
        <v>36</v>
      </c>
      <c r="B646" s="9" t="n">
        <v>6</v>
      </c>
      <c r="C646" s="9" t="n">
        <v>30</v>
      </c>
      <c r="D646" s="9" t="n">
        <v>22</v>
      </c>
      <c r="E646" s="10">
        <f>COMBIN(A646,D646)/COMBIN(A646-B646,D646)</f>
        <v/>
      </c>
      <c r="F646" s="11">
        <f>ROUNDUP(E646*Controls!$B$4,4)</f>
        <v/>
      </c>
      <c r="G646" s="12">
        <f>F646/E646</f>
        <v/>
      </c>
      <c r="H646" s="10">
        <f>(A646-B646-(D646-1))/(A646-(D646-1))</f>
        <v/>
      </c>
      <c r="I646" s="9">
        <f>A646&amp;'x'&amp;B646</f>
        <v/>
      </c>
      <c r="J646" s="9">
        <f>IF(AND(G646&gt;0.9,G646&lt;1),"OK","CHECK")</f>
        <v/>
      </c>
    </row>
    <row r="647">
      <c r="A647" s="9" t="n">
        <v>36</v>
      </c>
      <c r="B647" s="9" t="n">
        <v>6</v>
      </c>
      <c r="C647" s="9" t="n">
        <v>30</v>
      </c>
      <c r="D647" s="9" t="n">
        <v>23</v>
      </c>
      <c r="E647" s="10">
        <f>COMBIN(A647,D647)/COMBIN(A647-B647,D647)</f>
        <v/>
      </c>
      <c r="F647" s="11">
        <f>ROUNDUP(E647*Controls!$B$4,4)</f>
        <v/>
      </c>
      <c r="G647" s="12">
        <f>F647/E647</f>
        <v/>
      </c>
      <c r="H647" s="10">
        <f>(A647-B647-(D647-1))/(A647-(D647-1))</f>
        <v/>
      </c>
      <c r="I647" s="9">
        <f>A647&amp;'x'&amp;B647</f>
        <v/>
      </c>
      <c r="J647" s="9">
        <f>IF(AND(G647&gt;0.9,G647&lt;1),"OK","CHECK")</f>
        <v/>
      </c>
    </row>
    <row r="648">
      <c r="A648" s="9" t="n">
        <v>36</v>
      </c>
      <c r="B648" s="9" t="n">
        <v>6</v>
      </c>
      <c r="C648" s="9" t="n">
        <v>30</v>
      </c>
      <c r="D648" s="9" t="n">
        <v>24</v>
      </c>
      <c r="E648" s="10">
        <f>COMBIN(A648,D648)/COMBIN(A648-B648,D648)</f>
        <v/>
      </c>
      <c r="F648" s="11">
        <f>ROUNDUP(E648*Controls!$B$4,4)</f>
        <v/>
      </c>
      <c r="G648" s="12">
        <f>F648/E648</f>
        <v/>
      </c>
      <c r="H648" s="10">
        <f>(A648-B648-(D648-1))/(A648-(D648-1))</f>
        <v/>
      </c>
      <c r="I648" s="9">
        <f>A648&amp;'x'&amp;B648</f>
        <v/>
      </c>
      <c r="J648" s="9">
        <f>IF(AND(G648&gt;0.9,G648&lt;1),"OK","CHECK")</f>
        <v/>
      </c>
    </row>
    <row r="649">
      <c r="A649" s="9" t="n">
        <v>36</v>
      </c>
      <c r="B649" s="9" t="n">
        <v>6</v>
      </c>
      <c r="C649" s="9" t="n">
        <v>30</v>
      </c>
      <c r="D649" s="9" t="n">
        <v>25</v>
      </c>
      <c r="E649" s="10">
        <f>COMBIN(A649,D649)/COMBIN(A649-B649,D649)</f>
        <v/>
      </c>
      <c r="F649" s="11">
        <f>ROUNDUP(E649*Controls!$B$4,4)</f>
        <v/>
      </c>
      <c r="G649" s="12">
        <f>F649/E649</f>
        <v/>
      </c>
      <c r="H649" s="10">
        <f>(A649-B649-(D649-1))/(A649-(D649-1))</f>
        <v/>
      </c>
      <c r="I649" s="9">
        <f>A649&amp;'x'&amp;B649</f>
        <v/>
      </c>
      <c r="J649" s="9">
        <f>IF(AND(G649&gt;0.9,G649&lt;1),"OK","CHECK")</f>
        <v/>
      </c>
    </row>
    <row r="650">
      <c r="A650" s="9" t="n">
        <v>36</v>
      </c>
      <c r="B650" s="9" t="n">
        <v>6</v>
      </c>
      <c r="C650" s="9" t="n">
        <v>30</v>
      </c>
      <c r="D650" s="9" t="n">
        <v>26</v>
      </c>
      <c r="E650" s="10">
        <f>COMBIN(A650,D650)/COMBIN(A650-B650,D650)</f>
        <v/>
      </c>
      <c r="F650" s="11">
        <f>ROUNDUP(E650*Controls!$B$4,4)</f>
        <v/>
      </c>
      <c r="G650" s="12">
        <f>F650/E650</f>
        <v/>
      </c>
      <c r="H650" s="10">
        <f>(A650-B650-(D650-1))/(A650-(D650-1))</f>
        <v/>
      </c>
      <c r="I650" s="9">
        <f>A650&amp;'x'&amp;B650</f>
        <v/>
      </c>
      <c r="J650" s="9">
        <f>IF(AND(G650&gt;0.9,G650&lt;1),"OK","CHECK")</f>
        <v/>
      </c>
    </row>
    <row r="651">
      <c r="A651" s="9" t="n">
        <v>36</v>
      </c>
      <c r="B651" s="9" t="n">
        <v>6</v>
      </c>
      <c r="C651" s="9" t="n">
        <v>30</v>
      </c>
      <c r="D651" s="9" t="n">
        <v>27</v>
      </c>
      <c r="E651" s="10">
        <f>COMBIN(A651,D651)/COMBIN(A651-B651,D651)</f>
        <v/>
      </c>
      <c r="F651" s="11">
        <f>ROUNDUP(E651*Controls!$B$4,4)</f>
        <v/>
      </c>
      <c r="G651" s="12">
        <f>F651/E651</f>
        <v/>
      </c>
      <c r="H651" s="10">
        <f>(A651-B651-(D651-1))/(A651-(D651-1))</f>
        <v/>
      </c>
      <c r="I651" s="9">
        <f>A651&amp;'x'&amp;B651</f>
        <v/>
      </c>
      <c r="J651" s="9">
        <f>IF(AND(G651&gt;0.9,G651&lt;1),"OK","CHECK")</f>
        <v/>
      </c>
    </row>
    <row r="652">
      <c r="A652" s="9" t="n">
        <v>36</v>
      </c>
      <c r="B652" s="9" t="n">
        <v>6</v>
      </c>
      <c r="C652" s="9" t="n">
        <v>30</v>
      </c>
      <c r="D652" s="9" t="n">
        <v>28</v>
      </c>
      <c r="E652" s="10">
        <f>COMBIN(A652,D652)/COMBIN(A652-B652,D652)</f>
        <v/>
      </c>
      <c r="F652" s="11">
        <f>ROUNDUP(E652*Controls!$B$4,4)</f>
        <v/>
      </c>
      <c r="G652" s="12">
        <f>F652/E652</f>
        <v/>
      </c>
      <c r="H652" s="10">
        <f>(A652-B652-(D652-1))/(A652-(D652-1))</f>
        <v/>
      </c>
      <c r="I652" s="9">
        <f>A652&amp;'x'&amp;B652</f>
        <v/>
      </c>
      <c r="J652" s="9">
        <f>IF(AND(G652&gt;0.9,G652&lt;1),"OK","CHECK")</f>
        <v/>
      </c>
    </row>
    <row r="653">
      <c r="A653" s="9" t="n">
        <v>36</v>
      </c>
      <c r="B653" s="9" t="n">
        <v>6</v>
      </c>
      <c r="C653" s="9" t="n">
        <v>30</v>
      </c>
      <c r="D653" s="9" t="n">
        <v>29</v>
      </c>
      <c r="E653" s="10">
        <f>COMBIN(A653,D653)/COMBIN(A653-B653,D653)</f>
        <v/>
      </c>
      <c r="F653" s="11">
        <f>ROUNDUP(E653*Controls!$B$4,4)</f>
        <v/>
      </c>
      <c r="G653" s="12">
        <f>F653/E653</f>
        <v/>
      </c>
      <c r="H653" s="10">
        <f>(A653-B653-(D653-1))/(A653-(D653-1))</f>
        <v/>
      </c>
      <c r="I653" s="9">
        <f>A653&amp;'x'&amp;B653</f>
        <v/>
      </c>
      <c r="J653" s="9">
        <f>IF(AND(G653&gt;0.9,G653&lt;1),"OK","CHECK")</f>
        <v/>
      </c>
    </row>
    <row r="654">
      <c r="A654" s="9" t="n">
        <v>36</v>
      </c>
      <c r="B654" s="9" t="n">
        <v>6</v>
      </c>
      <c r="C654" s="9" t="n">
        <v>30</v>
      </c>
      <c r="D654" s="9" t="n">
        <v>30</v>
      </c>
      <c r="E654" s="10">
        <f>COMBIN(A654,D654)/COMBIN(A654-B654,D654)</f>
        <v/>
      </c>
      <c r="F654" s="11">
        <f>ROUNDUP(E654*Controls!$B$4,4)</f>
        <v/>
      </c>
      <c r="G654" s="12">
        <f>F654/E654</f>
        <v/>
      </c>
      <c r="H654" s="10">
        <f>(A654-B654-(D654-1))/(A654-(D654-1))</f>
        <v/>
      </c>
      <c r="I654" s="9">
        <f>A654&amp;'x'&amp;B654</f>
        <v/>
      </c>
      <c r="J654" s="9">
        <f>IF(AND(G654&gt;0.9,G654&lt;1),"OK","CHECK")</f>
        <v/>
      </c>
    </row>
    <row r="655">
      <c r="A655" s="9" t="n">
        <v>36</v>
      </c>
      <c r="B655" s="9" t="n">
        <v>7</v>
      </c>
      <c r="C655" s="9" t="n">
        <v>29</v>
      </c>
      <c r="D655" s="9" t="n">
        <v>1</v>
      </c>
      <c r="E655" s="10">
        <f>COMBIN(A655,D655)/COMBIN(A655-B655,D655)</f>
        <v/>
      </c>
      <c r="F655" s="11">
        <f>ROUNDUP(E655*Controls!$B$4,4)</f>
        <v/>
      </c>
      <c r="G655" s="12">
        <f>F655/E655</f>
        <v/>
      </c>
      <c r="H655" s="10">
        <f>(A655-B655-(D655-1))/(A655-(D655-1))</f>
        <v/>
      </c>
      <c r="I655" s="9">
        <f>A655&amp;'x'&amp;B655</f>
        <v/>
      </c>
      <c r="J655" s="9">
        <f>IF(AND(G655&gt;0.9,G655&lt;1),"OK","CHECK")</f>
        <v/>
      </c>
    </row>
    <row r="656">
      <c r="A656" s="9" t="n">
        <v>36</v>
      </c>
      <c r="B656" s="9" t="n">
        <v>7</v>
      </c>
      <c r="C656" s="9" t="n">
        <v>29</v>
      </c>
      <c r="D656" s="9" t="n">
        <v>2</v>
      </c>
      <c r="E656" s="10">
        <f>COMBIN(A656,D656)/COMBIN(A656-B656,D656)</f>
        <v/>
      </c>
      <c r="F656" s="11">
        <f>ROUNDUP(E656*Controls!$B$4,4)</f>
        <v/>
      </c>
      <c r="G656" s="12">
        <f>F656/E656</f>
        <v/>
      </c>
      <c r="H656" s="10">
        <f>(A656-B656-(D656-1))/(A656-(D656-1))</f>
        <v/>
      </c>
      <c r="I656" s="9">
        <f>A656&amp;'x'&amp;B656</f>
        <v/>
      </c>
      <c r="J656" s="9">
        <f>IF(AND(G656&gt;0.9,G656&lt;1),"OK","CHECK")</f>
        <v/>
      </c>
    </row>
    <row r="657">
      <c r="A657" s="9" t="n">
        <v>36</v>
      </c>
      <c r="B657" s="9" t="n">
        <v>7</v>
      </c>
      <c r="C657" s="9" t="n">
        <v>29</v>
      </c>
      <c r="D657" s="9" t="n">
        <v>3</v>
      </c>
      <c r="E657" s="10">
        <f>COMBIN(A657,D657)/COMBIN(A657-B657,D657)</f>
        <v/>
      </c>
      <c r="F657" s="11">
        <f>ROUNDUP(E657*Controls!$B$4,4)</f>
        <v/>
      </c>
      <c r="G657" s="12">
        <f>F657/E657</f>
        <v/>
      </c>
      <c r="H657" s="10">
        <f>(A657-B657-(D657-1))/(A657-(D657-1))</f>
        <v/>
      </c>
      <c r="I657" s="9">
        <f>A657&amp;'x'&amp;B657</f>
        <v/>
      </c>
      <c r="J657" s="9">
        <f>IF(AND(G657&gt;0.9,G657&lt;1),"OK","CHECK")</f>
        <v/>
      </c>
    </row>
    <row r="658">
      <c r="A658" s="9" t="n">
        <v>36</v>
      </c>
      <c r="B658" s="9" t="n">
        <v>7</v>
      </c>
      <c r="C658" s="9" t="n">
        <v>29</v>
      </c>
      <c r="D658" s="9" t="n">
        <v>4</v>
      </c>
      <c r="E658" s="10">
        <f>COMBIN(A658,D658)/COMBIN(A658-B658,D658)</f>
        <v/>
      </c>
      <c r="F658" s="11">
        <f>ROUNDUP(E658*Controls!$B$4,4)</f>
        <v/>
      </c>
      <c r="G658" s="12">
        <f>F658/E658</f>
        <v/>
      </c>
      <c r="H658" s="10">
        <f>(A658-B658-(D658-1))/(A658-(D658-1))</f>
        <v/>
      </c>
      <c r="I658" s="9">
        <f>A658&amp;'x'&amp;B658</f>
        <v/>
      </c>
      <c r="J658" s="9">
        <f>IF(AND(G658&gt;0.9,G658&lt;1),"OK","CHECK")</f>
        <v/>
      </c>
    </row>
    <row r="659">
      <c r="A659" s="9" t="n">
        <v>36</v>
      </c>
      <c r="B659" s="9" t="n">
        <v>7</v>
      </c>
      <c r="C659" s="9" t="n">
        <v>29</v>
      </c>
      <c r="D659" s="9" t="n">
        <v>5</v>
      </c>
      <c r="E659" s="10">
        <f>COMBIN(A659,D659)/COMBIN(A659-B659,D659)</f>
        <v/>
      </c>
      <c r="F659" s="11">
        <f>ROUNDUP(E659*Controls!$B$4,4)</f>
        <v/>
      </c>
      <c r="G659" s="12">
        <f>F659/E659</f>
        <v/>
      </c>
      <c r="H659" s="10">
        <f>(A659-B659-(D659-1))/(A659-(D659-1))</f>
        <v/>
      </c>
      <c r="I659" s="9">
        <f>A659&amp;'x'&amp;B659</f>
        <v/>
      </c>
      <c r="J659" s="9">
        <f>IF(AND(G659&gt;0.9,G659&lt;1),"OK","CHECK")</f>
        <v/>
      </c>
    </row>
    <row r="660">
      <c r="A660" s="9" t="n">
        <v>36</v>
      </c>
      <c r="B660" s="9" t="n">
        <v>7</v>
      </c>
      <c r="C660" s="9" t="n">
        <v>29</v>
      </c>
      <c r="D660" s="9" t="n">
        <v>6</v>
      </c>
      <c r="E660" s="10">
        <f>COMBIN(A660,D660)/COMBIN(A660-B660,D660)</f>
        <v/>
      </c>
      <c r="F660" s="11">
        <f>ROUNDUP(E660*Controls!$B$4,4)</f>
        <v/>
      </c>
      <c r="G660" s="12">
        <f>F660/E660</f>
        <v/>
      </c>
      <c r="H660" s="10">
        <f>(A660-B660-(D660-1))/(A660-(D660-1))</f>
        <v/>
      </c>
      <c r="I660" s="9">
        <f>A660&amp;'x'&amp;B660</f>
        <v/>
      </c>
      <c r="J660" s="9">
        <f>IF(AND(G660&gt;0.9,G660&lt;1),"OK","CHECK")</f>
        <v/>
      </c>
    </row>
    <row r="661">
      <c r="A661" s="9" t="n">
        <v>36</v>
      </c>
      <c r="B661" s="9" t="n">
        <v>7</v>
      </c>
      <c r="C661" s="9" t="n">
        <v>29</v>
      </c>
      <c r="D661" s="9" t="n">
        <v>7</v>
      </c>
      <c r="E661" s="10">
        <f>COMBIN(A661,D661)/COMBIN(A661-B661,D661)</f>
        <v/>
      </c>
      <c r="F661" s="11">
        <f>ROUNDUP(E661*Controls!$B$4,4)</f>
        <v/>
      </c>
      <c r="G661" s="12">
        <f>F661/E661</f>
        <v/>
      </c>
      <c r="H661" s="10">
        <f>(A661-B661-(D661-1))/(A661-(D661-1))</f>
        <v/>
      </c>
      <c r="I661" s="9">
        <f>A661&amp;'x'&amp;B661</f>
        <v/>
      </c>
      <c r="J661" s="9">
        <f>IF(AND(G661&gt;0.9,G661&lt;1),"OK","CHECK")</f>
        <v/>
      </c>
    </row>
    <row r="662">
      <c r="A662" s="9" t="n">
        <v>36</v>
      </c>
      <c r="B662" s="9" t="n">
        <v>7</v>
      </c>
      <c r="C662" s="9" t="n">
        <v>29</v>
      </c>
      <c r="D662" s="9" t="n">
        <v>8</v>
      </c>
      <c r="E662" s="10">
        <f>COMBIN(A662,D662)/COMBIN(A662-B662,D662)</f>
        <v/>
      </c>
      <c r="F662" s="11">
        <f>ROUNDUP(E662*Controls!$B$4,4)</f>
        <v/>
      </c>
      <c r="G662" s="12">
        <f>F662/E662</f>
        <v/>
      </c>
      <c r="H662" s="10">
        <f>(A662-B662-(D662-1))/(A662-(D662-1))</f>
        <v/>
      </c>
      <c r="I662" s="9">
        <f>A662&amp;'x'&amp;B662</f>
        <v/>
      </c>
      <c r="J662" s="9">
        <f>IF(AND(G662&gt;0.9,G662&lt;1),"OK","CHECK")</f>
        <v/>
      </c>
    </row>
    <row r="663">
      <c r="A663" s="9" t="n">
        <v>36</v>
      </c>
      <c r="B663" s="9" t="n">
        <v>7</v>
      </c>
      <c r="C663" s="9" t="n">
        <v>29</v>
      </c>
      <c r="D663" s="9" t="n">
        <v>9</v>
      </c>
      <c r="E663" s="10">
        <f>COMBIN(A663,D663)/COMBIN(A663-B663,D663)</f>
        <v/>
      </c>
      <c r="F663" s="11">
        <f>ROUNDUP(E663*Controls!$B$4,4)</f>
        <v/>
      </c>
      <c r="G663" s="12">
        <f>F663/E663</f>
        <v/>
      </c>
      <c r="H663" s="10">
        <f>(A663-B663-(D663-1))/(A663-(D663-1))</f>
        <v/>
      </c>
      <c r="I663" s="9">
        <f>A663&amp;'x'&amp;B663</f>
        <v/>
      </c>
      <c r="J663" s="9">
        <f>IF(AND(G663&gt;0.9,G663&lt;1),"OK","CHECK")</f>
        <v/>
      </c>
    </row>
    <row r="664">
      <c r="A664" s="9" t="n">
        <v>36</v>
      </c>
      <c r="B664" s="9" t="n">
        <v>7</v>
      </c>
      <c r="C664" s="9" t="n">
        <v>29</v>
      </c>
      <c r="D664" s="9" t="n">
        <v>10</v>
      </c>
      <c r="E664" s="10">
        <f>COMBIN(A664,D664)/COMBIN(A664-B664,D664)</f>
        <v/>
      </c>
      <c r="F664" s="11">
        <f>ROUNDUP(E664*Controls!$B$4,4)</f>
        <v/>
      </c>
      <c r="G664" s="12">
        <f>F664/E664</f>
        <v/>
      </c>
      <c r="H664" s="10">
        <f>(A664-B664-(D664-1))/(A664-(D664-1))</f>
        <v/>
      </c>
      <c r="I664" s="9">
        <f>A664&amp;'x'&amp;B664</f>
        <v/>
      </c>
      <c r="J664" s="9">
        <f>IF(AND(G664&gt;0.9,G664&lt;1),"OK","CHECK")</f>
        <v/>
      </c>
    </row>
    <row r="665">
      <c r="A665" s="9" t="n">
        <v>36</v>
      </c>
      <c r="B665" s="9" t="n">
        <v>7</v>
      </c>
      <c r="C665" s="9" t="n">
        <v>29</v>
      </c>
      <c r="D665" s="9" t="n">
        <v>11</v>
      </c>
      <c r="E665" s="10">
        <f>COMBIN(A665,D665)/COMBIN(A665-B665,D665)</f>
        <v/>
      </c>
      <c r="F665" s="11">
        <f>ROUNDUP(E665*Controls!$B$4,4)</f>
        <v/>
      </c>
      <c r="G665" s="12">
        <f>F665/E665</f>
        <v/>
      </c>
      <c r="H665" s="10">
        <f>(A665-B665-(D665-1))/(A665-(D665-1))</f>
        <v/>
      </c>
      <c r="I665" s="9">
        <f>A665&amp;'x'&amp;B665</f>
        <v/>
      </c>
      <c r="J665" s="9">
        <f>IF(AND(G665&gt;0.9,G665&lt;1),"OK","CHECK")</f>
        <v/>
      </c>
    </row>
    <row r="666">
      <c r="A666" s="9" t="n">
        <v>36</v>
      </c>
      <c r="B666" s="9" t="n">
        <v>7</v>
      </c>
      <c r="C666" s="9" t="n">
        <v>29</v>
      </c>
      <c r="D666" s="9" t="n">
        <v>12</v>
      </c>
      <c r="E666" s="10">
        <f>COMBIN(A666,D666)/COMBIN(A666-B666,D666)</f>
        <v/>
      </c>
      <c r="F666" s="11">
        <f>ROUNDUP(E666*Controls!$B$4,4)</f>
        <v/>
      </c>
      <c r="G666" s="12">
        <f>F666/E666</f>
        <v/>
      </c>
      <c r="H666" s="10">
        <f>(A666-B666-(D666-1))/(A666-(D666-1))</f>
        <v/>
      </c>
      <c r="I666" s="9">
        <f>A666&amp;'x'&amp;B666</f>
        <v/>
      </c>
      <c r="J666" s="9">
        <f>IF(AND(G666&gt;0.9,G666&lt;1),"OK","CHECK")</f>
        <v/>
      </c>
    </row>
    <row r="667">
      <c r="A667" s="9" t="n">
        <v>36</v>
      </c>
      <c r="B667" s="9" t="n">
        <v>7</v>
      </c>
      <c r="C667" s="9" t="n">
        <v>29</v>
      </c>
      <c r="D667" s="9" t="n">
        <v>13</v>
      </c>
      <c r="E667" s="10">
        <f>COMBIN(A667,D667)/COMBIN(A667-B667,D667)</f>
        <v/>
      </c>
      <c r="F667" s="11">
        <f>ROUNDUP(E667*Controls!$B$4,4)</f>
        <v/>
      </c>
      <c r="G667" s="12">
        <f>F667/E667</f>
        <v/>
      </c>
      <c r="H667" s="10">
        <f>(A667-B667-(D667-1))/(A667-(D667-1))</f>
        <v/>
      </c>
      <c r="I667" s="9">
        <f>A667&amp;'x'&amp;B667</f>
        <v/>
      </c>
      <c r="J667" s="9">
        <f>IF(AND(G667&gt;0.9,G667&lt;1),"OK","CHECK")</f>
        <v/>
      </c>
    </row>
    <row r="668">
      <c r="A668" s="9" t="n">
        <v>36</v>
      </c>
      <c r="B668" s="9" t="n">
        <v>7</v>
      </c>
      <c r="C668" s="9" t="n">
        <v>29</v>
      </c>
      <c r="D668" s="9" t="n">
        <v>14</v>
      </c>
      <c r="E668" s="10">
        <f>COMBIN(A668,D668)/COMBIN(A668-B668,D668)</f>
        <v/>
      </c>
      <c r="F668" s="11">
        <f>ROUNDUP(E668*Controls!$B$4,4)</f>
        <v/>
      </c>
      <c r="G668" s="12">
        <f>F668/E668</f>
        <v/>
      </c>
      <c r="H668" s="10">
        <f>(A668-B668-(D668-1))/(A668-(D668-1))</f>
        <v/>
      </c>
      <c r="I668" s="9">
        <f>A668&amp;'x'&amp;B668</f>
        <v/>
      </c>
      <c r="J668" s="9">
        <f>IF(AND(G668&gt;0.9,G668&lt;1),"OK","CHECK")</f>
        <v/>
      </c>
    </row>
    <row r="669">
      <c r="A669" s="9" t="n">
        <v>36</v>
      </c>
      <c r="B669" s="9" t="n">
        <v>7</v>
      </c>
      <c r="C669" s="9" t="n">
        <v>29</v>
      </c>
      <c r="D669" s="9" t="n">
        <v>15</v>
      </c>
      <c r="E669" s="10">
        <f>COMBIN(A669,D669)/COMBIN(A669-B669,D669)</f>
        <v/>
      </c>
      <c r="F669" s="11">
        <f>ROUNDUP(E669*Controls!$B$4,4)</f>
        <v/>
      </c>
      <c r="G669" s="12">
        <f>F669/E669</f>
        <v/>
      </c>
      <c r="H669" s="10">
        <f>(A669-B669-(D669-1))/(A669-(D669-1))</f>
        <v/>
      </c>
      <c r="I669" s="9">
        <f>A669&amp;'x'&amp;B669</f>
        <v/>
      </c>
      <c r="J669" s="9">
        <f>IF(AND(G669&gt;0.9,G669&lt;1),"OK","CHECK")</f>
        <v/>
      </c>
    </row>
    <row r="670">
      <c r="A670" s="9" t="n">
        <v>36</v>
      </c>
      <c r="B670" s="9" t="n">
        <v>7</v>
      </c>
      <c r="C670" s="9" t="n">
        <v>29</v>
      </c>
      <c r="D670" s="9" t="n">
        <v>16</v>
      </c>
      <c r="E670" s="10">
        <f>COMBIN(A670,D670)/COMBIN(A670-B670,D670)</f>
        <v/>
      </c>
      <c r="F670" s="11">
        <f>ROUNDUP(E670*Controls!$B$4,4)</f>
        <v/>
      </c>
      <c r="G670" s="12">
        <f>F670/E670</f>
        <v/>
      </c>
      <c r="H670" s="10">
        <f>(A670-B670-(D670-1))/(A670-(D670-1))</f>
        <v/>
      </c>
      <c r="I670" s="9">
        <f>A670&amp;'x'&amp;B670</f>
        <v/>
      </c>
      <c r="J670" s="9">
        <f>IF(AND(G670&gt;0.9,G670&lt;1),"OK","CHECK")</f>
        <v/>
      </c>
    </row>
    <row r="671">
      <c r="A671" s="9" t="n">
        <v>36</v>
      </c>
      <c r="B671" s="9" t="n">
        <v>7</v>
      </c>
      <c r="C671" s="9" t="n">
        <v>29</v>
      </c>
      <c r="D671" s="9" t="n">
        <v>17</v>
      </c>
      <c r="E671" s="10">
        <f>COMBIN(A671,D671)/COMBIN(A671-B671,D671)</f>
        <v/>
      </c>
      <c r="F671" s="11">
        <f>ROUNDUP(E671*Controls!$B$4,4)</f>
        <v/>
      </c>
      <c r="G671" s="12">
        <f>F671/E671</f>
        <v/>
      </c>
      <c r="H671" s="10">
        <f>(A671-B671-(D671-1))/(A671-(D671-1))</f>
        <v/>
      </c>
      <c r="I671" s="9">
        <f>A671&amp;'x'&amp;B671</f>
        <v/>
      </c>
      <c r="J671" s="9">
        <f>IF(AND(G671&gt;0.9,G671&lt;1),"OK","CHECK")</f>
        <v/>
      </c>
    </row>
    <row r="672">
      <c r="A672" s="9" t="n">
        <v>36</v>
      </c>
      <c r="B672" s="9" t="n">
        <v>7</v>
      </c>
      <c r="C672" s="9" t="n">
        <v>29</v>
      </c>
      <c r="D672" s="9" t="n">
        <v>18</v>
      </c>
      <c r="E672" s="10">
        <f>COMBIN(A672,D672)/COMBIN(A672-B672,D672)</f>
        <v/>
      </c>
      <c r="F672" s="11">
        <f>ROUNDUP(E672*Controls!$B$4,4)</f>
        <v/>
      </c>
      <c r="G672" s="12">
        <f>F672/E672</f>
        <v/>
      </c>
      <c r="H672" s="10">
        <f>(A672-B672-(D672-1))/(A672-(D672-1))</f>
        <v/>
      </c>
      <c r="I672" s="9">
        <f>A672&amp;'x'&amp;B672</f>
        <v/>
      </c>
      <c r="J672" s="9">
        <f>IF(AND(G672&gt;0.9,G672&lt;1),"OK","CHECK")</f>
        <v/>
      </c>
    </row>
    <row r="673">
      <c r="A673" s="9" t="n">
        <v>36</v>
      </c>
      <c r="B673" s="9" t="n">
        <v>7</v>
      </c>
      <c r="C673" s="9" t="n">
        <v>29</v>
      </c>
      <c r="D673" s="9" t="n">
        <v>19</v>
      </c>
      <c r="E673" s="10">
        <f>COMBIN(A673,D673)/COMBIN(A673-B673,D673)</f>
        <v/>
      </c>
      <c r="F673" s="11">
        <f>ROUNDUP(E673*Controls!$B$4,4)</f>
        <v/>
      </c>
      <c r="G673" s="12">
        <f>F673/E673</f>
        <v/>
      </c>
      <c r="H673" s="10">
        <f>(A673-B673-(D673-1))/(A673-(D673-1))</f>
        <v/>
      </c>
      <c r="I673" s="9">
        <f>A673&amp;'x'&amp;B673</f>
        <v/>
      </c>
      <c r="J673" s="9">
        <f>IF(AND(G673&gt;0.9,G673&lt;1),"OK","CHECK")</f>
        <v/>
      </c>
    </row>
    <row r="674">
      <c r="A674" s="9" t="n">
        <v>36</v>
      </c>
      <c r="B674" s="9" t="n">
        <v>7</v>
      </c>
      <c r="C674" s="9" t="n">
        <v>29</v>
      </c>
      <c r="D674" s="9" t="n">
        <v>20</v>
      </c>
      <c r="E674" s="10">
        <f>COMBIN(A674,D674)/COMBIN(A674-B674,D674)</f>
        <v/>
      </c>
      <c r="F674" s="11">
        <f>ROUNDUP(E674*Controls!$B$4,4)</f>
        <v/>
      </c>
      <c r="G674" s="12">
        <f>F674/E674</f>
        <v/>
      </c>
      <c r="H674" s="10">
        <f>(A674-B674-(D674-1))/(A674-(D674-1))</f>
        <v/>
      </c>
      <c r="I674" s="9">
        <f>A674&amp;'x'&amp;B674</f>
        <v/>
      </c>
      <c r="J674" s="9">
        <f>IF(AND(G674&gt;0.9,G674&lt;1),"OK","CHECK")</f>
        <v/>
      </c>
    </row>
    <row r="675">
      <c r="A675" s="9" t="n">
        <v>36</v>
      </c>
      <c r="B675" s="9" t="n">
        <v>7</v>
      </c>
      <c r="C675" s="9" t="n">
        <v>29</v>
      </c>
      <c r="D675" s="9" t="n">
        <v>21</v>
      </c>
      <c r="E675" s="10">
        <f>COMBIN(A675,D675)/COMBIN(A675-B675,D675)</f>
        <v/>
      </c>
      <c r="F675" s="11">
        <f>ROUNDUP(E675*Controls!$B$4,4)</f>
        <v/>
      </c>
      <c r="G675" s="12">
        <f>F675/E675</f>
        <v/>
      </c>
      <c r="H675" s="10">
        <f>(A675-B675-(D675-1))/(A675-(D675-1))</f>
        <v/>
      </c>
      <c r="I675" s="9">
        <f>A675&amp;'x'&amp;B675</f>
        <v/>
      </c>
      <c r="J675" s="9">
        <f>IF(AND(G675&gt;0.9,G675&lt;1),"OK","CHECK")</f>
        <v/>
      </c>
    </row>
    <row r="676">
      <c r="A676" s="9" t="n">
        <v>36</v>
      </c>
      <c r="B676" s="9" t="n">
        <v>7</v>
      </c>
      <c r="C676" s="9" t="n">
        <v>29</v>
      </c>
      <c r="D676" s="9" t="n">
        <v>22</v>
      </c>
      <c r="E676" s="10">
        <f>COMBIN(A676,D676)/COMBIN(A676-B676,D676)</f>
        <v/>
      </c>
      <c r="F676" s="11">
        <f>ROUNDUP(E676*Controls!$B$4,4)</f>
        <v/>
      </c>
      <c r="G676" s="12">
        <f>F676/E676</f>
        <v/>
      </c>
      <c r="H676" s="10">
        <f>(A676-B676-(D676-1))/(A676-(D676-1))</f>
        <v/>
      </c>
      <c r="I676" s="9">
        <f>A676&amp;'x'&amp;B676</f>
        <v/>
      </c>
      <c r="J676" s="9">
        <f>IF(AND(G676&gt;0.9,G676&lt;1),"OK","CHECK")</f>
        <v/>
      </c>
    </row>
    <row r="677">
      <c r="A677" s="9" t="n">
        <v>36</v>
      </c>
      <c r="B677" s="9" t="n">
        <v>7</v>
      </c>
      <c r="C677" s="9" t="n">
        <v>29</v>
      </c>
      <c r="D677" s="9" t="n">
        <v>23</v>
      </c>
      <c r="E677" s="10">
        <f>COMBIN(A677,D677)/COMBIN(A677-B677,D677)</f>
        <v/>
      </c>
      <c r="F677" s="11">
        <f>ROUNDUP(E677*Controls!$B$4,4)</f>
        <v/>
      </c>
      <c r="G677" s="12">
        <f>F677/E677</f>
        <v/>
      </c>
      <c r="H677" s="10">
        <f>(A677-B677-(D677-1))/(A677-(D677-1))</f>
        <v/>
      </c>
      <c r="I677" s="9">
        <f>A677&amp;'x'&amp;B677</f>
        <v/>
      </c>
      <c r="J677" s="9">
        <f>IF(AND(G677&gt;0.9,G677&lt;1),"OK","CHECK")</f>
        <v/>
      </c>
    </row>
    <row r="678">
      <c r="A678" s="9" t="n">
        <v>36</v>
      </c>
      <c r="B678" s="9" t="n">
        <v>7</v>
      </c>
      <c r="C678" s="9" t="n">
        <v>29</v>
      </c>
      <c r="D678" s="9" t="n">
        <v>24</v>
      </c>
      <c r="E678" s="10">
        <f>COMBIN(A678,D678)/COMBIN(A678-B678,D678)</f>
        <v/>
      </c>
      <c r="F678" s="11">
        <f>ROUNDUP(E678*Controls!$B$4,4)</f>
        <v/>
      </c>
      <c r="G678" s="12">
        <f>F678/E678</f>
        <v/>
      </c>
      <c r="H678" s="10">
        <f>(A678-B678-(D678-1))/(A678-(D678-1))</f>
        <v/>
      </c>
      <c r="I678" s="9">
        <f>A678&amp;'x'&amp;B678</f>
        <v/>
      </c>
      <c r="J678" s="9">
        <f>IF(AND(G678&gt;0.9,G678&lt;1),"OK","CHECK")</f>
        <v/>
      </c>
    </row>
    <row r="679">
      <c r="A679" s="9" t="n">
        <v>36</v>
      </c>
      <c r="B679" s="9" t="n">
        <v>7</v>
      </c>
      <c r="C679" s="9" t="n">
        <v>29</v>
      </c>
      <c r="D679" s="9" t="n">
        <v>25</v>
      </c>
      <c r="E679" s="10">
        <f>COMBIN(A679,D679)/COMBIN(A679-B679,D679)</f>
        <v/>
      </c>
      <c r="F679" s="11">
        <f>ROUNDUP(E679*Controls!$B$4,4)</f>
        <v/>
      </c>
      <c r="G679" s="12">
        <f>F679/E679</f>
        <v/>
      </c>
      <c r="H679" s="10">
        <f>(A679-B679-(D679-1))/(A679-(D679-1))</f>
        <v/>
      </c>
      <c r="I679" s="9">
        <f>A679&amp;'x'&amp;B679</f>
        <v/>
      </c>
      <c r="J679" s="9">
        <f>IF(AND(G679&gt;0.9,G679&lt;1),"OK","CHECK")</f>
        <v/>
      </c>
    </row>
    <row r="680">
      <c r="A680" s="9" t="n">
        <v>36</v>
      </c>
      <c r="B680" s="9" t="n">
        <v>7</v>
      </c>
      <c r="C680" s="9" t="n">
        <v>29</v>
      </c>
      <c r="D680" s="9" t="n">
        <v>26</v>
      </c>
      <c r="E680" s="10">
        <f>COMBIN(A680,D680)/COMBIN(A680-B680,D680)</f>
        <v/>
      </c>
      <c r="F680" s="11">
        <f>ROUNDUP(E680*Controls!$B$4,4)</f>
        <v/>
      </c>
      <c r="G680" s="12">
        <f>F680/E680</f>
        <v/>
      </c>
      <c r="H680" s="10">
        <f>(A680-B680-(D680-1))/(A680-(D680-1))</f>
        <v/>
      </c>
      <c r="I680" s="9">
        <f>A680&amp;'x'&amp;B680</f>
        <v/>
      </c>
      <c r="J680" s="9">
        <f>IF(AND(G680&gt;0.9,G680&lt;1),"OK","CHECK")</f>
        <v/>
      </c>
    </row>
    <row r="681">
      <c r="A681" s="9" t="n">
        <v>36</v>
      </c>
      <c r="B681" s="9" t="n">
        <v>7</v>
      </c>
      <c r="C681" s="9" t="n">
        <v>29</v>
      </c>
      <c r="D681" s="9" t="n">
        <v>27</v>
      </c>
      <c r="E681" s="10">
        <f>COMBIN(A681,D681)/COMBIN(A681-B681,D681)</f>
        <v/>
      </c>
      <c r="F681" s="11">
        <f>ROUNDUP(E681*Controls!$B$4,4)</f>
        <v/>
      </c>
      <c r="G681" s="12">
        <f>F681/E681</f>
        <v/>
      </c>
      <c r="H681" s="10">
        <f>(A681-B681-(D681-1))/(A681-(D681-1))</f>
        <v/>
      </c>
      <c r="I681" s="9">
        <f>A681&amp;'x'&amp;B681</f>
        <v/>
      </c>
      <c r="J681" s="9">
        <f>IF(AND(G681&gt;0.9,G681&lt;1),"OK","CHECK")</f>
        <v/>
      </c>
    </row>
    <row r="682">
      <c r="A682" s="9" t="n">
        <v>36</v>
      </c>
      <c r="B682" s="9" t="n">
        <v>7</v>
      </c>
      <c r="C682" s="9" t="n">
        <v>29</v>
      </c>
      <c r="D682" s="9" t="n">
        <v>28</v>
      </c>
      <c r="E682" s="10">
        <f>COMBIN(A682,D682)/COMBIN(A682-B682,D682)</f>
        <v/>
      </c>
      <c r="F682" s="11">
        <f>ROUNDUP(E682*Controls!$B$4,4)</f>
        <v/>
      </c>
      <c r="G682" s="12">
        <f>F682/E682</f>
        <v/>
      </c>
      <c r="H682" s="10">
        <f>(A682-B682-(D682-1))/(A682-(D682-1))</f>
        <v/>
      </c>
      <c r="I682" s="9">
        <f>A682&amp;'x'&amp;B682</f>
        <v/>
      </c>
      <c r="J682" s="9">
        <f>IF(AND(G682&gt;0.9,G682&lt;1),"OK","CHECK")</f>
        <v/>
      </c>
    </row>
    <row r="683">
      <c r="A683" s="9" t="n">
        <v>36</v>
      </c>
      <c r="B683" s="9" t="n">
        <v>7</v>
      </c>
      <c r="C683" s="9" t="n">
        <v>29</v>
      </c>
      <c r="D683" s="9" t="n">
        <v>29</v>
      </c>
      <c r="E683" s="10">
        <f>COMBIN(A683,D683)/COMBIN(A683-B683,D683)</f>
        <v/>
      </c>
      <c r="F683" s="11">
        <f>ROUNDUP(E683*Controls!$B$4,4)</f>
        <v/>
      </c>
      <c r="G683" s="12">
        <f>F683/E683</f>
        <v/>
      </c>
      <c r="H683" s="10">
        <f>(A683-B683-(D683-1))/(A683-(D683-1))</f>
        <v/>
      </c>
      <c r="I683" s="9">
        <f>A683&amp;'x'&amp;B683</f>
        <v/>
      </c>
      <c r="J683" s="9">
        <f>IF(AND(G683&gt;0.9,G683&lt;1),"OK","CHECK")</f>
        <v/>
      </c>
    </row>
    <row r="684">
      <c r="A684" s="9" t="n">
        <v>36</v>
      </c>
      <c r="B684" s="9" t="n">
        <v>8</v>
      </c>
      <c r="C684" s="9" t="n">
        <v>28</v>
      </c>
      <c r="D684" s="9" t="n">
        <v>1</v>
      </c>
      <c r="E684" s="10">
        <f>COMBIN(A684,D684)/COMBIN(A684-B684,D684)</f>
        <v/>
      </c>
      <c r="F684" s="11">
        <f>ROUNDUP(E684*Controls!$B$4,4)</f>
        <v/>
      </c>
      <c r="G684" s="12">
        <f>F684/E684</f>
        <v/>
      </c>
      <c r="H684" s="10">
        <f>(A684-B684-(D684-1))/(A684-(D684-1))</f>
        <v/>
      </c>
      <c r="I684" s="9">
        <f>A684&amp;'x'&amp;B684</f>
        <v/>
      </c>
      <c r="J684" s="9">
        <f>IF(AND(G684&gt;0.9,G684&lt;1),"OK","CHECK")</f>
        <v/>
      </c>
    </row>
    <row r="685">
      <c r="A685" s="9" t="n">
        <v>36</v>
      </c>
      <c r="B685" s="9" t="n">
        <v>8</v>
      </c>
      <c r="C685" s="9" t="n">
        <v>28</v>
      </c>
      <c r="D685" s="9" t="n">
        <v>2</v>
      </c>
      <c r="E685" s="10">
        <f>COMBIN(A685,D685)/COMBIN(A685-B685,D685)</f>
        <v/>
      </c>
      <c r="F685" s="11">
        <f>ROUNDUP(E685*Controls!$B$4,4)</f>
        <v/>
      </c>
      <c r="G685" s="12">
        <f>F685/E685</f>
        <v/>
      </c>
      <c r="H685" s="10">
        <f>(A685-B685-(D685-1))/(A685-(D685-1))</f>
        <v/>
      </c>
      <c r="I685" s="9">
        <f>A685&amp;'x'&amp;B685</f>
        <v/>
      </c>
      <c r="J685" s="9">
        <f>IF(AND(G685&gt;0.9,G685&lt;1),"OK","CHECK")</f>
        <v/>
      </c>
    </row>
    <row r="686">
      <c r="A686" s="9" t="n">
        <v>36</v>
      </c>
      <c r="B686" s="9" t="n">
        <v>8</v>
      </c>
      <c r="C686" s="9" t="n">
        <v>28</v>
      </c>
      <c r="D686" s="9" t="n">
        <v>3</v>
      </c>
      <c r="E686" s="10">
        <f>COMBIN(A686,D686)/COMBIN(A686-B686,D686)</f>
        <v/>
      </c>
      <c r="F686" s="11">
        <f>ROUNDUP(E686*Controls!$B$4,4)</f>
        <v/>
      </c>
      <c r="G686" s="12">
        <f>F686/E686</f>
        <v/>
      </c>
      <c r="H686" s="10">
        <f>(A686-B686-(D686-1))/(A686-(D686-1))</f>
        <v/>
      </c>
      <c r="I686" s="9">
        <f>A686&amp;'x'&amp;B686</f>
        <v/>
      </c>
      <c r="J686" s="9">
        <f>IF(AND(G686&gt;0.9,G686&lt;1),"OK","CHECK")</f>
        <v/>
      </c>
    </row>
    <row r="687">
      <c r="A687" s="9" t="n">
        <v>36</v>
      </c>
      <c r="B687" s="9" t="n">
        <v>8</v>
      </c>
      <c r="C687" s="9" t="n">
        <v>28</v>
      </c>
      <c r="D687" s="9" t="n">
        <v>4</v>
      </c>
      <c r="E687" s="10">
        <f>COMBIN(A687,D687)/COMBIN(A687-B687,D687)</f>
        <v/>
      </c>
      <c r="F687" s="11">
        <f>ROUNDUP(E687*Controls!$B$4,4)</f>
        <v/>
      </c>
      <c r="G687" s="12">
        <f>F687/E687</f>
        <v/>
      </c>
      <c r="H687" s="10">
        <f>(A687-B687-(D687-1))/(A687-(D687-1))</f>
        <v/>
      </c>
      <c r="I687" s="9">
        <f>A687&amp;'x'&amp;B687</f>
        <v/>
      </c>
      <c r="J687" s="9">
        <f>IF(AND(G687&gt;0.9,G687&lt;1),"OK","CHECK")</f>
        <v/>
      </c>
    </row>
    <row r="688">
      <c r="A688" s="9" t="n">
        <v>36</v>
      </c>
      <c r="B688" s="9" t="n">
        <v>8</v>
      </c>
      <c r="C688" s="9" t="n">
        <v>28</v>
      </c>
      <c r="D688" s="9" t="n">
        <v>5</v>
      </c>
      <c r="E688" s="10">
        <f>COMBIN(A688,D688)/COMBIN(A688-B688,D688)</f>
        <v/>
      </c>
      <c r="F688" s="11">
        <f>ROUNDUP(E688*Controls!$B$4,4)</f>
        <v/>
      </c>
      <c r="G688" s="12">
        <f>F688/E688</f>
        <v/>
      </c>
      <c r="H688" s="10">
        <f>(A688-B688-(D688-1))/(A688-(D688-1))</f>
        <v/>
      </c>
      <c r="I688" s="9">
        <f>A688&amp;'x'&amp;B688</f>
        <v/>
      </c>
      <c r="J688" s="9">
        <f>IF(AND(G688&gt;0.9,G688&lt;1),"OK","CHECK")</f>
        <v/>
      </c>
    </row>
    <row r="689">
      <c r="A689" s="9" t="n">
        <v>36</v>
      </c>
      <c r="B689" s="9" t="n">
        <v>8</v>
      </c>
      <c r="C689" s="9" t="n">
        <v>28</v>
      </c>
      <c r="D689" s="9" t="n">
        <v>6</v>
      </c>
      <c r="E689" s="10">
        <f>COMBIN(A689,D689)/COMBIN(A689-B689,D689)</f>
        <v/>
      </c>
      <c r="F689" s="11">
        <f>ROUNDUP(E689*Controls!$B$4,4)</f>
        <v/>
      </c>
      <c r="G689" s="12">
        <f>F689/E689</f>
        <v/>
      </c>
      <c r="H689" s="10">
        <f>(A689-B689-(D689-1))/(A689-(D689-1))</f>
        <v/>
      </c>
      <c r="I689" s="9">
        <f>A689&amp;'x'&amp;B689</f>
        <v/>
      </c>
      <c r="J689" s="9">
        <f>IF(AND(G689&gt;0.9,G689&lt;1),"OK","CHECK")</f>
        <v/>
      </c>
    </row>
    <row r="690">
      <c r="A690" s="9" t="n">
        <v>36</v>
      </c>
      <c r="B690" s="9" t="n">
        <v>8</v>
      </c>
      <c r="C690" s="9" t="n">
        <v>28</v>
      </c>
      <c r="D690" s="9" t="n">
        <v>7</v>
      </c>
      <c r="E690" s="10">
        <f>COMBIN(A690,D690)/COMBIN(A690-B690,D690)</f>
        <v/>
      </c>
      <c r="F690" s="11">
        <f>ROUNDUP(E690*Controls!$B$4,4)</f>
        <v/>
      </c>
      <c r="G690" s="12">
        <f>F690/E690</f>
        <v/>
      </c>
      <c r="H690" s="10">
        <f>(A690-B690-(D690-1))/(A690-(D690-1))</f>
        <v/>
      </c>
      <c r="I690" s="9">
        <f>A690&amp;'x'&amp;B690</f>
        <v/>
      </c>
      <c r="J690" s="9">
        <f>IF(AND(G690&gt;0.9,G690&lt;1),"OK","CHECK")</f>
        <v/>
      </c>
    </row>
    <row r="691">
      <c r="A691" s="9" t="n">
        <v>36</v>
      </c>
      <c r="B691" s="9" t="n">
        <v>8</v>
      </c>
      <c r="C691" s="9" t="n">
        <v>28</v>
      </c>
      <c r="D691" s="9" t="n">
        <v>8</v>
      </c>
      <c r="E691" s="10">
        <f>COMBIN(A691,D691)/COMBIN(A691-B691,D691)</f>
        <v/>
      </c>
      <c r="F691" s="11">
        <f>ROUNDUP(E691*Controls!$B$4,4)</f>
        <v/>
      </c>
      <c r="G691" s="12">
        <f>F691/E691</f>
        <v/>
      </c>
      <c r="H691" s="10">
        <f>(A691-B691-(D691-1))/(A691-(D691-1))</f>
        <v/>
      </c>
      <c r="I691" s="9">
        <f>A691&amp;'x'&amp;B691</f>
        <v/>
      </c>
      <c r="J691" s="9">
        <f>IF(AND(G691&gt;0.9,G691&lt;1),"OK","CHECK")</f>
        <v/>
      </c>
    </row>
    <row r="692">
      <c r="A692" s="9" t="n">
        <v>36</v>
      </c>
      <c r="B692" s="9" t="n">
        <v>8</v>
      </c>
      <c r="C692" s="9" t="n">
        <v>28</v>
      </c>
      <c r="D692" s="9" t="n">
        <v>9</v>
      </c>
      <c r="E692" s="10">
        <f>COMBIN(A692,D692)/COMBIN(A692-B692,D692)</f>
        <v/>
      </c>
      <c r="F692" s="11">
        <f>ROUNDUP(E692*Controls!$B$4,4)</f>
        <v/>
      </c>
      <c r="G692" s="12">
        <f>F692/E692</f>
        <v/>
      </c>
      <c r="H692" s="10">
        <f>(A692-B692-(D692-1))/(A692-(D692-1))</f>
        <v/>
      </c>
      <c r="I692" s="9">
        <f>A692&amp;'x'&amp;B692</f>
        <v/>
      </c>
      <c r="J692" s="9">
        <f>IF(AND(G692&gt;0.9,G692&lt;1),"OK","CHECK")</f>
        <v/>
      </c>
    </row>
    <row r="693">
      <c r="A693" s="9" t="n">
        <v>36</v>
      </c>
      <c r="B693" s="9" t="n">
        <v>8</v>
      </c>
      <c r="C693" s="9" t="n">
        <v>28</v>
      </c>
      <c r="D693" s="9" t="n">
        <v>10</v>
      </c>
      <c r="E693" s="10">
        <f>COMBIN(A693,D693)/COMBIN(A693-B693,D693)</f>
        <v/>
      </c>
      <c r="F693" s="11">
        <f>ROUNDUP(E693*Controls!$B$4,4)</f>
        <v/>
      </c>
      <c r="G693" s="12">
        <f>F693/E693</f>
        <v/>
      </c>
      <c r="H693" s="10">
        <f>(A693-B693-(D693-1))/(A693-(D693-1))</f>
        <v/>
      </c>
      <c r="I693" s="9">
        <f>A693&amp;'x'&amp;B693</f>
        <v/>
      </c>
      <c r="J693" s="9">
        <f>IF(AND(G693&gt;0.9,G693&lt;1),"OK","CHECK")</f>
        <v/>
      </c>
    </row>
    <row r="694">
      <c r="A694" s="9" t="n">
        <v>36</v>
      </c>
      <c r="B694" s="9" t="n">
        <v>8</v>
      </c>
      <c r="C694" s="9" t="n">
        <v>28</v>
      </c>
      <c r="D694" s="9" t="n">
        <v>11</v>
      </c>
      <c r="E694" s="10">
        <f>COMBIN(A694,D694)/COMBIN(A694-B694,D694)</f>
        <v/>
      </c>
      <c r="F694" s="11">
        <f>ROUNDUP(E694*Controls!$B$4,4)</f>
        <v/>
      </c>
      <c r="G694" s="12">
        <f>F694/E694</f>
        <v/>
      </c>
      <c r="H694" s="10">
        <f>(A694-B694-(D694-1))/(A694-(D694-1))</f>
        <v/>
      </c>
      <c r="I694" s="9">
        <f>A694&amp;'x'&amp;B694</f>
        <v/>
      </c>
      <c r="J694" s="9">
        <f>IF(AND(G694&gt;0.9,G694&lt;1),"OK","CHECK")</f>
        <v/>
      </c>
    </row>
    <row r="695">
      <c r="A695" s="9" t="n">
        <v>36</v>
      </c>
      <c r="B695" s="9" t="n">
        <v>8</v>
      </c>
      <c r="C695" s="9" t="n">
        <v>28</v>
      </c>
      <c r="D695" s="9" t="n">
        <v>12</v>
      </c>
      <c r="E695" s="10">
        <f>COMBIN(A695,D695)/COMBIN(A695-B695,D695)</f>
        <v/>
      </c>
      <c r="F695" s="11">
        <f>ROUNDUP(E695*Controls!$B$4,4)</f>
        <v/>
      </c>
      <c r="G695" s="12">
        <f>F695/E695</f>
        <v/>
      </c>
      <c r="H695" s="10">
        <f>(A695-B695-(D695-1))/(A695-(D695-1))</f>
        <v/>
      </c>
      <c r="I695" s="9">
        <f>A695&amp;'x'&amp;B695</f>
        <v/>
      </c>
      <c r="J695" s="9">
        <f>IF(AND(G695&gt;0.9,G695&lt;1),"OK","CHECK")</f>
        <v/>
      </c>
    </row>
    <row r="696">
      <c r="A696" s="9" t="n">
        <v>36</v>
      </c>
      <c r="B696" s="9" t="n">
        <v>8</v>
      </c>
      <c r="C696" s="9" t="n">
        <v>28</v>
      </c>
      <c r="D696" s="9" t="n">
        <v>13</v>
      </c>
      <c r="E696" s="10">
        <f>COMBIN(A696,D696)/COMBIN(A696-B696,D696)</f>
        <v/>
      </c>
      <c r="F696" s="11">
        <f>ROUNDUP(E696*Controls!$B$4,4)</f>
        <v/>
      </c>
      <c r="G696" s="12">
        <f>F696/E696</f>
        <v/>
      </c>
      <c r="H696" s="10">
        <f>(A696-B696-(D696-1))/(A696-(D696-1))</f>
        <v/>
      </c>
      <c r="I696" s="9">
        <f>A696&amp;'x'&amp;B696</f>
        <v/>
      </c>
      <c r="J696" s="9">
        <f>IF(AND(G696&gt;0.9,G696&lt;1),"OK","CHECK")</f>
        <v/>
      </c>
    </row>
    <row r="697">
      <c r="A697" s="9" t="n">
        <v>36</v>
      </c>
      <c r="B697" s="9" t="n">
        <v>8</v>
      </c>
      <c r="C697" s="9" t="n">
        <v>28</v>
      </c>
      <c r="D697" s="9" t="n">
        <v>14</v>
      </c>
      <c r="E697" s="10">
        <f>COMBIN(A697,D697)/COMBIN(A697-B697,D697)</f>
        <v/>
      </c>
      <c r="F697" s="11">
        <f>ROUNDUP(E697*Controls!$B$4,4)</f>
        <v/>
      </c>
      <c r="G697" s="12">
        <f>F697/E697</f>
        <v/>
      </c>
      <c r="H697" s="10">
        <f>(A697-B697-(D697-1))/(A697-(D697-1))</f>
        <v/>
      </c>
      <c r="I697" s="9">
        <f>A697&amp;'x'&amp;B697</f>
        <v/>
      </c>
      <c r="J697" s="9">
        <f>IF(AND(G697&gt;0.9,G697&lt;1),"OK","CHECK")</f>
        <v/>
      </c>
    </row>
    <row r="698">
      <c r="A698" s="9" t="n">
        <v>36</v>
      </c>
      <c r="B698" s="9" t="n">
        <v>8</v>
      </c>
      <c r="C698" s="9" t="n">
        <v>28</v>
      </c>
      <c r="D698" s="9" t="n">
        <v>15</v>
      </c>
      <c r="E698" s="10">
        <f>COMBIN(A698,D698)/COMBIN(A698-B698,D698)</f>
        <v/>
      </c>
      <c r="F698" s="11">
        <f>ROUNDUP(E698*Controls!$B$4,4)</f>
        <v/>
      </c>
      <c r="G698" s="12">
        <f>F698/E698</f>
        <v/>
      </c>
      <c r="H698" s="10">
        <f>(A698-B698-(D698-1))/(A698-(D698-1))</f>
        <v/>
      </c>
      <c r="I698" s="9">
        <f>A698&amp;'x'&amp;B698</f>
        <v/>
      </c>
      <c r="J698" s="9">
        <f>IF(AND(G698&gt;0.9,G698&lt;1),"OK","CHECK")</f>
        <v/>
      </c>
    </row>
    <row r="699">
      <c r="A699" s="9" t="n">
        <v>36</v>
      </c>
      <c r="B699" s="9" t="n">
        <v>8</v>
      </c>
      <c r="C699" s="9" t="n">
        <v>28</v>
      </c>
      <c r="D699" s="9" t="n">
        <v>16</v>
      </c>
      <c r="E699" s="10">
        <f>COMBIN(A699,D699)/COMBIN(A699-B699,D699)</f>
        <v/>
      </c>
      <c r="F699" s="11">
        <f>ROUNDUP(E699*Controls!$B$4,4)</f>
        <v/>
      </c>
      <c r="G699" s="12">
        <f>F699/E699</f>
        <v/>
      </c>
      <c r="H699" s="10">
        <f>(A699-B699-(D699-1))/(A699-(D699-1))</f>
        <v/>
      </c>
      <c r="I699" s="9">
        <f>A699&amp;'x'&amp;B699</f>
        <v/>
      </c>
      <c r="J699" s="9">
        <f>IF(AND(G699&gt;0.9,G699&lt;1),"OK","CHECK")</f>
        <v/>
      </c>
    </row>
    <row r="700">
      <c r="A700" s="9" t="n">
        <v>36</v>
      </c>
      <c r="B700" s="9" t="n">
        <v>8</v>
      </c>
      <c r="C700" s="9" t="n">
        <v>28</v>
      </c>
      <c r="D700" s="9" t="n">
        <v>17</v>
      </c>
      <c r="E700" s="10">
        <f>COMBIN(A700,D700)/COMBIN(A700-B700,D700)</f>
        <v/>
      </c>
      <c r="F700" s="11">
        <f>ROUNDUP(E700*Controls!$B$4,4)</f>
        <v/>
      </c>
      <c r="G700" s="12">
        <f>F700/E700</f>
        <v/>
      </c>
      <c r="H700" s="10">
        <f>(A700-B700-(D700-1))/(A700-(D700-1))</f>
        <v/>
      </c>
      <c r="I700" s="9">
        <f>A700&amp;'x'&amp;B700</f>
        <v/>
      </c>
      <c r="J700" s="9">
        <f>IF(AND(G700&gt;0.9,G700&lt;1),"OK","CHECK")</f>
        <v/>
      </c>
    </row>
    <row r="701">
      <c r="A701" s="9" t="n">
        <v>36</v>
      </c>
      <c r="B701" s="9" t="n">
        <v>8</v>
      </c>
      <c r="C701" s="9" t="n">
        <v>28</v>
      </c>
      <c r="D701" s="9" t="n">
        <v>18</v>
      </c>
      <c r="E701" s="10">
        <f>COMBIN(A701,D701)/COMBIN(A701-B701,D701)</f>
        <v/>
      </c>
      <c r="F701" s="11">
        <f>ROUNDUP(E701*Controls!$B$4,4)</f>
        <v/>
      </c>
      <c r="G701" s="12">
        <f>F701/E701</f>
        <v/>
      </c>
      <c r="H701" s="10">
        <f>(A701-B701-(D701-1))/(A701-(D701-1))</f>
        <v/>
      </c>
      <c r="I701" s="9">
        <f>A701&amp;'x'&amp;B701</f>
        <v/>
      </c>
      <c r="J701" s="9">
        <f>IF(AND(G701&gt;0.9,G701&lt;1),"OK","CHECK")</f>
        <v/>
      </c>
    </row>
    <row r="702">
      <c r="A702" s="9" t="n">
        <v>36</v>
      </c>
      <c r="B702" s="9" t="n">
        <v>8</v>
      </c>
      <c r="C702" s="9" t="n">
        <v>28</v>
      </c>
      <c r="D702" s="9" t="n">
        <v>19</v>
      </c>
      <c r="E702" s="10">
        <f>COMBIN(A702,D702)/COMBIN(A702-B702,D702)</f>
        <v/>
      </c>
      <c r="F702" s="11">
        <f>ROUNDUP(E702*Controls!$B$4,4)</f>
        <v/>
      </c>
      <c r="G702" s="12">
        <f>F702/E702</f>
        <v/>
      </c>
      <c r="H702" s="10">
        <f>(A702-B702-(D702-1))/(A702-(D702-1))</f>
        <v/>
      </c>
      <c r="I702" s="9">
        <f>A702&amp;'x'&amp;B702</f>
        <v/>
      </c>
      <c r="J702" s="9">
        <f>IF(AND(G702&gt;0.9,G702&lt;1),"OK","CHECK")</f>
        <v/>
      </c>
    </row>
    <row r="703">
      <c r="A703" s="9" t="n">
        <v>36</v>
      </c>
      <c r="B703" s="9" t="n">
        <v>8</v>
      </c>
      <c r="C703" s="9" t="n">
        <v>28</v>
      </c>
      <c r="D703" s="9" t="n">
        <v>20</v>
      </c>
      <c r="E703" s="10">
        <f>COMBIN(A703,D703)/COMBIN(A703-B703,D703)</f>
        <v/>
      </c>
      <c r="F703" s="11">
        <f>ROUNDUP(E703*Controls!$B$4,4)</f>
        <v/>
      </c>
      <c r="G703" s="12">
        <f>F703/E703</f>
        <v/>
      </c>
      <c r="H703" s="10">
        <f>(A703-B703-(D703-1))/(A703-(D703-1))</f>
        <v/>
      </c>
      <c r="I703" s="9">
        <f>A703&amp;'x'&amp;B703</f>
        <v/>
      </c>
      <c r="J703" s="9">
        <f>IF(AND(G703&gt;0.9,G703&lt;1),"OK","CHECK")</f>
        <v/>
      </c>
    </row>
    <row r="704">
      <c r="A704" s="9" t="n">
        <v>36</v>
      </c>
      <c r="B704" s="9" t="n">
        <v>8</v>
      </c>
      <c r="C704" s="9" t="n">
        <v>28</v>
      </c>
      <c r="D704" s="9" t="n">
        <v>21</v>
      </c>
      <c r="E704" s="10">
        <f>COMBIN(A704,D704)/COMBIN(A704-B704,D704)</f>
        <v/>
      </c>
      <c r="F704" s="11">
        <f>ROUNDUP(E704*Controls!$B$4,4)</f>
        <v/>
      </c>
      <c r="G704" s="12">
        <f>F704/E704</f>
        <v/>
      </c>
      <c r="H704" s="10">
        <f>(A704-B704-(D704-1))/(A704-(D704-1))</f>
        <v/>
      </c>
      <c r="I704" s="9">
        <f>A704&amp;'x'&amp;B704</f>
        <v/>
      </c>
      <c r="J704" s="9">
        <f>IF(AND(G704&gt;0.9,G704&lt;1),"OK","CHECK")</f>
        <v/>
      </c>
    </row>
    <row r="705">
      <c r="A705" s="9" t="n">
        <v>36</v>
      </c>
      <c r="B705" s="9" t="n">
        <v>8</v>
      </c>
      <c r="C705" s="9" t="n">
        <v>28</v>
      </c>
      <c r="D705" s="9" t="n">
        <v>22</v>
      </c>
      <c r="E705" s="10">
        <f>COMBIN(A705,D705)/COMBIN(A705-B705,D705)</f>
        <v/>
      </c>
      <c r="F705" s="11">
        <f>ROUNDUP(E705*Controls!$B$4,4)</f>
        <v/>
      </c>
      <c r="G705" s="12">
        <f>F705/E705</f>
        <v/>
      </c>
      <c r="H705" s="10">
        <f>(A705-B705-(D705-1))/(A705-(D705-1))</f>
        <v/>
      </c>
      <c r="I705" s="9">
        <f>A705&amp;'x'&amp;B705</f>
        <v/>
      </c>
      <c r="J705" s="9">
        <f>IF(AND(G705&gt;0.9,G705&lt;1),"OK","CHECK")</f>
        <v/>
      </c>
    </row>
    <row r="706">
      <c r="A706" s="9" t="n">
        <v>36</v>
      </c>
      <c r="B706" s="9" t="n">
        <v>8</v>
      </c>
      <c r="C706" s="9" t="n">
        <v>28</v>
      </c>
      <c r="D706" s="9" t="n">
        <v>23</v>
      </c>
      <c r="E706" s="10">
        <f>COMBIN(A706,D706)/COMBIN(A706-B706,D706)</f>
        <v/>
      </c>
      <c r="F706" s="11">
        <f>ROUNDUP(E706*Controls!$B$4,4)</f>
        <v/>
      </c>
      <c r="G706" s="12">
        <f>F706/E706</f>
        <v/>
      </c>
      <c r="H706" s="10">
        <f>(A706-B706-(D706-1))/(A706-(D706-1))</f>
        <v/>
      </c>
      <c r="I706" s="9">
        <f>A706&amp;'x'&amp;B706</f>
        <v/>
      </c>
      <c r="J706" s="9">
        <f>IF(AND(G706&gt;0.9,G706&lt;1),"OK","CHECK")</f>
        <v/>
      </c>
    </row>
    <row r="707">
      <c r="A707" s="9" t="n">
        <v>36</v>
      </c>
      <c r="B707" s="9" t="n">
        <v>8</v>
      </c>
      <c r="C707" s="9" t="n">
        <v>28</v>
      </c>
      <c r="D707" s="9" t="n">
        <v>24</v>
      </c>
      <c r="E707" s="10">
        <f>COMBIN(A707,D707)/COMBIN(A707-B707,D707)</f>
        <v/>
      </c>
      <c r="F707" s="11">
        <f>ROUNDUP(E707*Controls!$B$4,4)</f>
        <v/>
      </c>
      <c r="G707" s="12">
        <f>F707/E707</f>
        <v/>
      </c>
      <c r="H707" s="10">
        <f>(A707-B707-(D707-1))/(A707-(D707-1))</f>
        <v/>
      </c>
      <c r="I707" s="9">
        <f>A707&amp;'x'&amp;B707</f>
        <v/>
      </c>
      <c r="J707" s="9">
        <f>IF(AND(G707&gt;0.9,G707&lt;1),"OK","CHECK")</f>
        <v/>
      </c>
    </row>
    <row r="708">
      <c r="A708" s="9" t="n">
        <v>36</v>
      </c>
      <c r="B708" s="9" t="n">
        <v>8</v>
      </c>
      <c r="C708" s="9" t="n">
        <v>28</v>
      </c>
      <c r="D708" s="9" t="n">
        <v>25</v>
      </c>
      <c r="E708" s="10">
        <f>COMBIN(A708,D708)/COMBIN(A708-B708,D708)</f>
        <v/>
      </c>
      <c r="F708" s="11">
        <f>ROUNDUP(E708*Controls!$B$4,4)</f>
        <v/>
      </c>
      <c r="G708" s="12">
        <f>F708/E708</f>
        <v/>
      </c>
      <c r="H708" s="10">
        <f>(A708-B708-(D708-1))/(A708-(D708-1))</f>
        <v/>
      </c>
      <c r="I708" s="9">
        <f>A708&amp;'x'&amp;B708</f>
        <v/>
      </c>
      <c r="J708" s="9">
        <f>IF(AND(G708&gt;0.9,G708&lt;1),"OK","CHECK")</f>
        <v/>
      </c>
    </row>
    <row r="709">
      <c r="A709" s="9" t="n">
        <v>36</v>
      </c>
      <c r="B709" s="9" t="n">
        <v>8</v>
      </c>
      <c r="C709" s="9" t="n">
        <v>28</v>
      </c>
      <c r="D709" s="9" t="n">
        <v>26</v>
      </c>
      <c r="E709" s="10">
        <f>COMBIN(A709,D709)/COMBIN(A709-B709,D709)</f>
        <v/>
      </c>
      <c r="F709" s="11">
        <f>ROUNDUP(E709*Controls!$B$4,4)</f>
        <v/>
      </c>
      <c r="G709" s="12">
        <f>F709/E709</f>
        <v/>
      </c>
      <c r="H709" s="10">
        <f>(A709-B709-(D709-1))/(A709-(D709-1))</f>
        <v/>
      </c>
      <c r="I709" s="9">
        <f>A709&amp;'x'&amp;B709</f>
        <v/>
      </c>
      <c r="J709" s="9">
        <f>IF(AND(G709&gt;0.9,G709&lt;1),"OK","CHECK")</f>
        <v/>
      </c>
    </row>
    <row r="710">
      <c r="A710" s="9" t="n">
        <v>36</v>
      </c>
      <c r="B710" s="9" t="n">
        <v>8</v>
      </c>
      <c r="C710" s="9" t="n">
        <v>28</v>
      </c>
      <c r="D710" s="9" t="n">
        <v>27</v>
      </c>
      <c r="E710" s="10">
        <f>COMBIN(A710,D710)/COMBIN(A710-B710,D710)</f>
        <v/>
      </c>
      <c r="F710" s="11">
        <f>ROUNDUP(E710*Controls!$B$4,4)</f>
        <v/>
      </c>
      <c r="G710" s="12">
        <f>F710/E710</f>
        <v/>
      </c>
      <c r="H710" s="10">
        <f>(A710-B710-(D710-1))/(A710-(D710-1))</f>
        <v/>
      </c>
      <c r="I710" s="9">
        <f>A710&amp;'x'&amp;B710</f>
        <v/>
      </c>
      <c r="J710" s="9">
        <f>IF(AND(G710&gt;0.9,G710&lt;1),"OK","CHECK")</f>
        <v/>
      </c>
    </row>
    <row r="711">
      <c r="A711" s="9" t="n">
        <v>36</v>
      </c>
      <c r="B711" s="9" t="n">
        <v>8</v>
      </c>
      <c r="C711" s="9" t="n">
        <v>28</v>
      </c>
      <c r="D711" s="9" t="n">
        <v>28</v>
      </c>
      <c r="E711" s="10">
        <f>COMBIN(A711,D711)/COMBIN(A711-B711,D711)</f>
        <v/>
      </c>
      <c r="F711" s="11">
        <f>ROUNDUP(E711*Controls!$B$4,4)</f>
        <v/>
      </c>
      <c r="G711" s="12">
        <f>F711/E711</f>
        <v/>
      </c>
      <c r="H711" s="10">
        <f>(A711-B711-(D711-1))/(A711-(D711-1))</f>
        <v/>
      </c>
      <c r="I711" s="9">
        <f>A711&amp;'x'&amp;B711</f>
        <v/>
      </c>
      <c r="J711" s="9">
        <f>IF(AND(G711&gt;0.9,G711&lt;1),"OK","CHECK")</f>
        <v/>
      </c>
    </row>
    <row r="712">
      <c r="A712" s="9" t="n">
        <v>36</v>
      </c>
      <c r="B712" s="9" t="n">
        <v>9</v>
      </c>
      <c r="C712" s="9" t="n">
        <v>27</v>
      </c>
      <c r="D712" s="9" t="n">
        <v>1</v>
      </c>
      <c r="E712" s="10">
        <f>COMBIN(A712,D712)/COMBIN(A712-B712,D712)</f>
        <v/>
      </c>
      <c r="F712" s="11">
        <f>ROUNDUP(E712*Controls!$B$4,4)</f>
        <v/>
      </c>
      <c r="G712" s="12">
        <f>F712/E712</f>
        <v/>
      </c>
      <c r="H712" s="10">
        <f>(A712-B712-(D712-1))/(A712-(D712-1))</f>
        <v/>
      </c>
      <c r="I712" s="9">
        <f>A712&amp;'x'&amp;B712</f>
        <v/>
      </c>
      <c r="J712" s="9">
        <f>IF(AND(G712&gt;0.9,G712&lt;1),"OK","CHECK")</f>
        <v/>
      </c>
    </row>
    <row r="713">
      <c r="A713" s="9" t="n">
        <v>36</v>
      </c>
      <c r="B713" s="9" t="n">
        <v>9</v>
      </c>
      <c r="C713" s="9" t="n">
        <v>27</v>
      </c>
      <c r="D713" s="9" t="n">
        <v>2</v>
      </c>
      <c r="E713" s="10">
        <f>COMBIN(A713,D713)/COMBIN(A713-B713,D713)</f>
        <v/>
      </c>
      <c r="F713" s="11">
        <f>ROUNDUP(E713*Controls!$B$4,4)</f>
        <v/>
      </c>
      <c r="G713" s="12">
        <f>F713/E713</f>
        <v/>
      </c>
      <c r="H713" s="10">
        <f>(A713-B713-(D713-1))/(A713-(D713-1))</f>
        <v/>
      </c>
      <c r="I713" s="9">
        <f>A713&amp;'x'&amp;B713</f>
        <v/>
      </c>
      <c r="J713" s="9">
        <f>IF(AND(G713&gt;0.9,G713&lt;1),"OK","CHECK")</f>
        <v/>
      </c>
    </row>
    <row r="714">
      <c r="A714" s="9" t="n">
        <v>36</v>
      </c>
      <c r="B714" s="9" t="n">
        <v>9</v>
      </c>
      <c r="C714" s="9" t="n">
        <v>27</v>
      </c>
      <c r="D714" s="9" t="n">
        <v>3</v>
      </c>
      <c r="E714" s="10">
        <f>COMBIN(A714,D714)/COMBIN(A714-B714,D714)</f>
        <v/>
      </c>
      <c r="F714" s="11">
        <f>ROUNDUP(E714*Controls!$B$4,4)</f>
        <v/>
      </c>
      <c r="G714" s="12">
        <f>F714/E714</f>
        <v/>
      </c>
      <c r="H714" s="10">
        <f>(A714-B714-(D714-1))/(A714-(D714-1))</f>
        <v/>
      </c>
      <c r="I714" s="9">
        <f>A714&amp;'x'&amp;B714</f>
        <v/>
      </c>
      <c r="J714" s="9">
        <f>IF(AND(G714&gt;0.9,G714&lt;1),"OK","CHECK")</f>
        <v/>
      </c>
    </row>
    <row r="715">
      <c r="A715" s="9" t="n">
        <v>36</v>
      </c>
      <c r="B715" s="9" t="n">
        <v>9</v>
      </c>
      <c r="C715" s="9" t="n">
        <v>27</v>
      </c>
      <c r="D715" s="9" t="n">
        <v>4</v>
      </c>
      <c r="E715" s="10">
        <f>COMBIN(A715,D715)/COMBIN(A715-B715,D715)</f>
        <v/>
      </c>
      <c r="F715" s="11">
        <f>ROUNDUP(E715*Controls!$B$4,4)</f>
        <v/>
      </c>
      <c r="G715" s="12">
        <f>F715/E715</f>
        <v/>
      </c>
      <c r="H715" s="10">
        <f>(A715-B715-(D715-1))/(A715-(D715-1))</f>
        <v/>
      </c>
      <c r="I715" s="9">
        <f>A715&amp;'x'&amp;B715</f>
        <v/>
      </c>
      <c r="J715" s="9">
        <f>IF(AND(G715&gt;0.9,G715&lt;1),"OK","CHECK")</f>
        <v/>
      </c>
    </row>
    <row r="716">
      <c r="A716" s="9" t="n">
        <v>36</v>
      </c>
      <c r="B716" s="9" t="n">
        <v>9</v>
      </c>
      <c r="C716" s="9" t="n">
        <v>27</v>
      </c>
      <c r="D716" s="9" t="n">
        <v>5</v>
      </c>
      <c r="E716" s="10">
        <f>COMBIN(A716,D716)/COMBIN(A716-B716,D716)</f>
        <v/>
      </c>
      <c r="F716" s="11">
        <f>ROUNDUP(E716*Controls!$B$4,4)</f>
        <v/>
      </c>
      <c r="G716" s="12">
        <f>F716/E716</f>
        <v/>
      </c>
      <c r="H716" s="10">
        <f>(A716-B716-(D716-1))/(A716-(D716-1))</f>
        <v/>
      </c>
      <c r="I716" s="9">
        <f>A716&amp;'x'&amp;B716</f>
        <v/>
      </c>
      <c r="J716" s="9">
        <f>IF(AND(G716&gt;0.9,G716&lt;1),"OK","CHECK")</f>
        <v/>
      </c>
    </row>
    <row r="717">
      <c r="A717" s="9" t="n">
        <v>36</v>
      </c>
      <c r="B717" s="9" t="n">
        <v>9</v>
      </c>
      <c r="C717" s="9" t="n">
        <v>27</v>
      </c>
      <c r="D717" s="9" t="n">
        <v>6</v>
      </c>
      <c r="E717" s="10">
        <f>COMBIN(A717,D717)/COMBIN(A717-B717,D717)</f>
        <v/>
      </c>
      <c r="F717" s="11">
        <f>ROUNDUP(E717*Controls!$B$4,4)</f>
        <v/>
      </c>
      <c r="G717" s="12">
        <f>F717/E717</f>
        <v/>
      </c>
      <c r="H717" s="10">
        <f>(A717-B717-(D717-1))/(A717-(D717-1))</f>
        <v/>
      </c>
      <c r="I717" s="9">
        <f>A717&amp;'x'&amp;B717</f>
        <v/>
      </c>
      <c r="J717" s="9">
        <f>IF(AND(G717&gt;0.9,G717&lt;1),"OK","CHECK")</f>
        <v/>
      </c>
    </row>
    <row r="718">
      <c r="A718" s="9" t="n">
        <v>36</v>
      </c>
      <c r="B718" s="9" t="n">
        <v>9</v>
      </c>
      <c r="C718" s="9" t="n">
        <v>27</v>
      </c>
      <c r="D718" s="9" t="n">
        <v>7</v>
      </c>
      <c r="E718" s="10">
        <f>COMBIN(A718,D718)/COMBIN(A718-B718,D718)</f>
        <v/>
      </c>
      <c r="F718" s="11">
        <f>ROUNDUP(E718*Controls!$B$4,4)</f>
        <v/>
      </c>
      <c r="G718" s="12">
        <f>F718/E718</f>
        <v/>
      </c>
      <c r="H718" s="10">
        <f>(A718-B718-(D718-1))/(A718-(D718-1))</f>
        <v/>
      </c>
      <c r="I718" s="9">
        <f>A718&amp;'x'&amp;B718</f>
        <v/>
      </c>
      <c r="J718" s="9">
        <f>IF(AND(G718&gt;0.9,G718&lt;1),"OK","CHECK")</f>
        <v/>
      </c>
    </row>
    <row r="719">
      <c r="A719" s="9" t="n">
        <v>36</v>
      </c>
      <c r="B719" s="9" t="n">
        <v>9</v>
      </c>
      <c r="C719" s="9" t="n">
        <v>27</v>
      </c>
      <c r="D719" s="9" t="n">
        <v>8</v>
      </c>
      <c r="E719" s="10">
        <f>COMBIN(A719,D719)/COMBIN(A719-B719,D719)</f>
        <v/>
      </c>
      <c r="F719" s="11">
        <f>ROUNDUP(E719*Controls!$B$4,4)</f>
        <v/>
      </c>
      <c r="G719" s="12">
        <f>F719/E719</f>
        <v/>
      </c>
      <c r="H719" s="10">
        <f>(A719-B719-(D719-1))/(A719-(D719-1))</f>
        <v/>
      </c>
      <c r="I719" s="9">
        <f>A719&amp;'x'&amp;B719</f>
        <v/>
      </c>
      <c r="J719" s="9">
        <f>IF(AND(G719&gt;0.9,G719&lt;1),"OK","CHECK")</f>
        <v/>
      </c>
    </row>
    <row r="720">
      <c r="A720" s="9" t="n">
        <v>36</v>
      </c>
      <c r="B720" s="9" t="n">
        <v>9</v>
      </c>
      <c r="C720" s="9" t="n">
        <v>27</v>
      </c>
      <c r="D720" s="9" t="n">
        <v>9</v>
      </c>
      <c r="E720" s="10">
        <f>COMBIN(A720,D720)/COMBIN(A720-B720,D720)</f>
        <v/>
      </c>
      <c r="F720" s="11">
        <f>ROUNDUP(E720*Controls!$B$4,4)</f>
        <v/>
      </c>
      <c r="G720" s="12">
        <f>F720/E720</f>
        <v/>
      </c>
      <c r="H720" s="10">
        <f>(A720-B720-(D720-1))/(A720-(D720-1))</f>
        <v/>
      </c>
      <c r="I720" s="9">
        <f>A720&amp;'x'&amp;B720</f>
        <v/>
      </c>
      <c r="J720" s="9">
        <f>IF(AND(G720&gt;0.9,G720&lt;1),"OK","CHECK")</f>
        <v/>
      </c>
    </row>
    <row r="721">
      <c r="A721" s="9" t="n">
        <v>36</v>
      </c>
      <c r="B721" s="9" t="n">
        <v>9</v>
      </c>
      <c r="C721" s="9" t="n">
        <v>27</v>
      </c>
      <c r="D721" s="9" t="n">
        <v>10</v>
      </c>
      <c r="E721" s="10">
        <f>COMBIN(A721,D721)/COMBIN(A721-B721,D721)</f>
        <v/>
      </c>
      <c r="F721" s="11">
        <f>ROUNDUP(E721*Controls!$B$4,4)</f>
        <v/>
      </c>
      <c r="G721" s="12">
        <f>F721/E721</f>
        <v/>
      </c>
      <c r="H721" s="10">
        <f>(A721-B721-(D721-1))/(A721-(D721-1))</f>
        <v/>
      </c>
      <c r="I721" s="9">
        <f>A721&amp;'x'&amp;B721</f>
        <v/>
      </c>
      <c r="J721" s="9">
        <f>IF(AND(G721&gt;0.9,G721&lt;1),"OK","CHECK")</f>
        <v/>
      </c>
    </row>
    <row r="722">
      <c r="A722" s="9" t="n">
        <v>36</v>
      </c>
      <c r="B722" s="9" t="n">
        <v>9</v>
      </c>
      <c r="C722" s="9" t="n">
        <v>27</v>
      </c>
      <c r="D722" s="9" t="n">
        <v>11</v>
      </c>
      <c r="E722" s="10">
        <f>COMBIN(A722,D722)/COMBIN(A722-B722,D722)</f>
        <v/>
      </c>
      <c r="F722" s="11">
        <f>ROUNDUP(E722*Controls!$B$4,4)</f>
        <v/>
      </c>
      <c r="G722" s="12">
        <f>F722/E722</f>
        <v/>
      </c>
      <c r="H722" s="10">
        <f>(A722-B722-(D722-1))/(A722-(D722-1))</f>
        <v/>
      </c>
      <c r="I722" s="9">
        <f>A722&amp;'x'&amp;B722</f>
        <v/>
      </c>
      <c r="J722" s="9">
        <f>IF(AND(G722&gt;0.9,G722&lt;1),"OK","CHECK")</f>
        <v/>
      </c>
    </row>
    <row r="723">
      <c r="A723" s="9" t="n">
        <v>36</v>
      </c>
      <c r="B723" s="9" t="n">
        <v>9</v>
      </c>
      <c r="C723" s="9" t="n">
        <v>27</v>
      </c>
      <c r="D723" s="9" t="n">
        <v>12</v>
      </c>
      <c r="E723" s="10">
        <f>COMBIN(A723,D723)/COMBIN(A723-B723,D723)</f>
        <v/>
      </c>
      <c r="F723" s="11">
        <f>ROUNDUP(E723*Controls!$B$4,4)</f>
        <v/>
      </c>
      <c r="G723" s="12">
        <f>F723/E723</f>
        <v/>
      </c>
      <c r="H723" s="10">
        <f>(A723-B723-(D723-1))/(A723-(D723-1))</f>
        <v/>
      </c>
      <c r="I723" s="9">
        <f>A723&amp;'x'&amp;B723</f>
        <v/>
      </c>
      <c r="J723" s="9">
        <f>IF(AND(G723&gt;0.9,G723&lt;1),"OK","CHECK")</f>
        <v/>
      </c>
    </row>
    <row r="724">
      <c r="A724" s="9" t="n">
        <v>36</v>
      </c>
      <c r="B724" s="9" t="n">
        <v>9</v>
      </c>
      <c r="C724" s="9" t="n">
        <v>27</v>
      </c>
      <c r="D724" s="9" t="n">
        <v>13</v>
      </c>
      <c r="E724" s="10">
        <f>COMBIN(A724,D724)/COMBIN(A724-B724,D724)</f>
        <v/>
      </c>
      <c r="F724" s="11">
        <f>ROUNDUP(E724*Controls!$B$4,4)</f>
        <v/>
      </c>
      <c r="G724" s="12">
        <f>F724/E724</f>
        <v/>
      </c>
      <c r="H724" s="10">
        <f>(A724-B724-(D724-1))/(A724-(D724-1))</f>
        <v/>
      </c>
      <c r="I724" s="9">
        <f>A724&amp;'x'&amp;B724</f>
        <v/>
      </c>
      <c r="J724" s="9">
        <f>IF(AND(G724&gt;0.9,G724&lt;1),"OK","CHECK")</f>
        <v/>
      </c>
    </row>
    <row r="725">
      <c r="A725" s="9" t="n">
        <v>36</v>
      </c>
      <c r="B725" s="9" t="n">
        <v>9</v>
      </c>
      <c r="C725" s="9" t="n">
        <v>27</v>
      </c>
      <c r="D725" s="9" t="n">
        <v>14</v>
      </c>
      <c r="E725" s="10">
        <f>COMBIN(A725,D725)/COMBIN(A725-B725,D725)</f>
        <v/>
      </c>
      <c r="F725" s="11">
        <f>ROUNDUP(E725*Controls!$B$4,4)</f>
        <v/>
      </c>
      <c r="G725" s="12">
        <f>F725/E725</f>
        <v/>
      </c>
      <c r="H725" s="10">
        <f>(A725-B725-(D725-1))/(A725-(D725-1))</f>
        <v/>
      </c>
      <c r="I725" s="9">
        <f>A725&amp;'x'&amp;B725</f>
        <v/>
      </c>
      <c r="J725" s="9">
        <f>IF(AND(G725&gt;0.9,G725&lt;1),"OK","CHECK")</f>
        <v/>
      </c>
    </row>
    <row r="726">
      <c r="A726" s="9" t="n">
        <v>36</v>
      </c>
      <c r="B726" s="9" t="n">
        <v>9</v>
      </c>
      <c r="C726" s="9" t="n">
        <v>27</v>
      </c>
      <c r="D726" s="9" t="n">
        <v>15</v>
      </c>
      <c r="E726" s="10">
        <f>COMBIN(A726,D726)/COMBIN(A726-B726,D726)</f>
        <v/>
      </c>
      <c r="F726" s="11">
        <f>ROUNDUP(E726*Controls!$B$4,4)</f>
        <v/>
      </c>
      <c r="G726" s="12">
        <f>F726/E726</f>
        <v/>
      </c>
      <c r="H726" s="10">
        <f>(A726-B726-(D726-1))/(A726-(D726-1))</f>
        <v/>
      </c>
      <c r="I726" s="9">
        <f>A726&amp;'x'&amp;B726</f>
        <v/>
      </c>
      <c r="J726" s="9">
        <f>IF(AND(G726&gt;0.9,G726&lt;1),"OK","CHECK")</f>
        <v/>
      </c>
    </row>
    <row r="727">
      <c r="A727" s="9" t="n">
        <v>36</v>
      </c>
      <c r="B727" s="9" t="n">
        <v>9</v>
      </c>
      <c r="C727" s="9" t="n">
        <v>27</v>
      </c>
      <c r="D727" s="9" t="n">
        <v>16</v>
      </c>
      <c r="E727" s="10">
        <f>COMBIN(A727,D727)/COMBIN(A727-B727,D727)</f>
        <v/>
      </c>
      <c r="F727" s="11">
        <f>ROUNDUP(E727*Controls!$B$4,4)</f>
        <v/>
      </c>
      <c r="G727" s="12">
        <f>F727/E727</f>
        <v/>
      </c>
      <c r="H727" s="10">
        <f>(A727-B727-(D727-1))/(A727-(D727-1))</f>
        <v/>
      </c>
      <c r="I727" s="9">
        <f>A727&amp;'x'&amp;B727</f>
        <v/>
      </c>
      <c r="J727" s="9">
        <f>IF(AND(G727&gt;0.9,G727&lt;1),"OK","CHECK")</f>
        <v/>
      </c>
    </row>
    <row r="728">
      <c r="A728" s="9" t="n">
        <v>36</v>
      </c>
      <c r="B728" s="9" t="n">
        <v>9</v>
      </c>
      <c r="C728" s="9" t="n">
        <v>27</v>
      </c>
      <c r="D728" s="9" t="n">
        <v>17</v>
      </c>
      <c r="E728" s="10">
        <f>COMBIN(A728,D728)/COMBIN(A728-B728,D728)</f>
        <v/>
      </c>
      <c r="F728" s="11">
        <f>ROUNDUP(E728*Controls!$B$4,4)</f>
        <v/>
      </c>
      <c r="G728" s="12">
        <f>F728/E728</f>
        <v/>
      </c>
      <c r="H728" s="10">
        <f>(A728-B728-(D728-1))/(A728-(D728-1))</f>
        <v/>
      </c>
      <c r="I728" s="9">
        <f>A728&amp;'x'&amp;B728</f>
        <v/>
      </c>
      <c r="J728" s="9">
        <f>IF(AND(G728&gt;0.9,G728&lt;1),"OK","CHECK")</f>
        <v/>
      </c>
    </row>
    <row r="729">
      <c r="A729" s="9" t="n">
        <v>36</v>
      </c>
      <c r="B729" s="9" t="n">
        <v>9</v>
      </c>
      <c r="C729" s="9" t="n">
        <v>27</v>
      </c>
      <c r="D729" s="9" t="n">
        <v>18</v>
      </c>
      <c r="E729" s="10">
        <f>COMBIN(A729,D729)/COMBIN(A729-B729,D729)</f>
        <v/>
      </c>
      <c r="F729" s="11">
        <f>ROUNDUP(E729*Controls!$B$4,4)</f>
        <v/>
      </c>
      <c r="G729" s="12">
        <f>F729/E729</f>
        <v/>
      </c>
      <c r="H729" s="10">
        <f>(A729-B729-(D729-1))/(A729-(D729-1))</f>
        <v/>
      </c>
      <c r="I729" s="9">
        <f>A729&amp;'x'&amp;B729</f>
        <v/>
      </c>
      <c r="J729" s="9">
        <f>IF(AND(G729&gt;0.9,G729&lt;1),"OK","CHECK")</f>
        <v/>
      </c>
    </row>
    <row r="730">
      <c r="A730" s="9" t="n">
        <v>36</v>
      </c>
      <c r="B730" s="9" t="n">
        <v>9</v>
      </c>
      <c r="C730" s="9" t="n">
        <v>27</v>
      </c>
      <c r="D730" s="9" t="n">
        <v>19</v>
      </c>
      <c r="E730" s="10">
        <f>COMBIN(A730,D730)/COMBIN(A730-B730,D730)</f>
        <v/>
      </c>
      <c r="F730" s="11">
        <f>ROUNDUP(E730*Controls!$B$4,4)</f>
        <v/>
      </c>
      <c r="G730" s="12">
        <f>F730/E730</f>
        <v/>
      </c>
      <c r="H730" s="10">
        <f>(A730-B730-(D730-1))/(A730-(D730-1))</f>
        <v/>
      </c>
      <c r="I730" s="9">
        <f>A730&amp;'x'&amp;B730</f>
        <v/>
      </c>
      <c r="J730" s="9">
        <f>IF(AND(G730&gt;0.9,G730&lt;1),"OK","CHECK")</f>
        <v/>
      </c>
    </row>
    <row r="731">
      <c r="A731" s="9" t="n">
        <v>36</v>
      </c>
      <c r="B731" s="9" t="n">
        <v>9</v>
      </c>
      <c r="C731" s="9" t="n">
        <v>27</v>
      </c>
      <c r="D731" s="9" t="n">
        <v>20</v>
      </c>
      <c r="E731" s="10">
        <f>COMBIN(A731,D731)/COMBIN(A731-B731,D731)</f>
        <v/>
      </c>
      <c r="F731" s="11">
        <f>ROUNDUP(E731*Controls!$B$4,4)</f>
        <v/>
      </c>
      <c r="G731" s="12">
        <f>F731/E731</f>
        <v/>
      </c>
      <c r="H731" s="10">
        <f>(A731-B731-(D731-1))/(A731-(D731-1))</f>
        <v/>
      </c>
      <c r="I731" s="9">
        <f>A731&amp;'x'&amp;B731</f>
        <v/>
      </c>
      <c r="J731" s="9">
        <f>IF(AND(G731&gt;0.9,G731&lt;1),"OK","CHECK")</f>
        <v/>
      </c>
    </row>
    <row r="732">
      <c r="A732" s="9" t="n">
        <v>36</v>
      </c>
      <c r="B732" s="9" t="n">
        <v>9</v>
      </c>
      <c r="C732" s="9" t="n">
        <v>27</v>
      </c>
      <c r="D732" s="9" t="n">
        <v>21</v>
      </c>
      <c r="E732" s="10">
        <f>COMBIN(A732,D732)/COMBIN(A732-B732,D732)</f>
        <v/>
      </c>
      <c r="F732" s="11">
        <f>ROUNDUP(E732*Controls!$B$4,4)</f>
        <v/>
      </c>
      <c r="G732" s="12">
        <f>F732/E732</f>
        <v/>
      </c>
      <c r="H732" s="10">
        <f>(A732-B732-(D732-1))/(A732-(D732-1))</f>
        <v/>
      </c>
      <c r="I732" s="9">
        <f>A732&amp;'x'&amp;B732</f>
        <v/>
      </c>
      <c r="J732" s="9">
        <f>IF(AND(G732&gt;0.9,G732&lt;1),"OK","CHECK")</f>
        <v/>
      </c>
    </row>
    <row r="733">
      <c r="A733" s="9" t="n">
        <v>36</v>
      </c>
      <c r="B733" s="9" t="n">
        <v>9</v>
      </c>
      <c r="C733" s="9" t="n">
        <v>27</v>
      </c>
      <c r="D733" s="9" t="n">
        <v>22</v>
      </c>
      <c r="E733" s="10">
        <f>COMBIN(A733,D733)/COMBIN(A733-B733,D733)</f>
        <v/>
      </c>
      <c r="F733" s="11">
        <f>ROUNDUP(E733*Controls!$B$4,4)</f>
        <v/>
      </c>
      <c r="G733" s="12">
        <f>F733/E733</f>
        <v/>
      </c>
      <c r="H733" s="10">
        <f>(A733-B733-(D733-1))/(A733-(D733-1))</f>
        <v/>
      </c>
      <c r="I733" s="9">
        <f>A733&amp;'x'&amp;B733</f>
        <v/>
      </c>
      <c r="J733" s="9">
        <f>IF(AND(G733&gt;0.9,G733&lt;1),"OK","CHECK")</f>
        <v/>
      </c>
    </row>
    <row r="734">
      <c r="A734" s="9" t="n">
        <v>36</v>
      </c>
      <c r="B734" s="9" t="n">
        <v>9</v>
      </c>
      <c r="C734" s="9" t="n">
        <v>27</v>
      </c>
      <c r="D734" s="9" t="n">
        <v>23</v>
      </c>
      <c r="E734" s="10">
        <f>COMBIN(A734,D734)/COMBIN(A734-B734,D734)</f>
        <v/>
      </c>
      <c r="F734" s="11">
        <f>ROUNDUP(E734*Controls!$B$4,4)</f>
        <v/>
      </c>
      <c r="G734" s="12">
        <f>F734/E734</f>
        <v/>
      </c>
      <c r="H734" s="10">
        <f>(A734-B734-(D734-1))/(A734-(D734-1))</f>
        <v/>
      </c>
      <c r="I734" s="9">
        <f>A734&amp;'x'&amp;B734</f>
        <v/>
      </c>
      <c r="J734" s="9">
        <f>IF(AND(G734&gt;0.9,G734&lt;1),"OK","CHECK")</f>
        <v/>
      </c>
    </row>
    <row r="735">
      <c r="A735" s="9" t="n">
        <v>36</v>
      </c>
      <c r="B735" s="9" t="n">
        <v>9</v>
      </c>
      <c r="C735" s="9" t="n">
        <v>27</v>
      </c>
      <c r="D735" s="9" t="n">
        <v>24</v>
      </c>
      <c r="E735" s="10">
        <f>COMBIN(A735,D735)/COMBIN(A735-B735,D735)</f>
        <v/>
      </c>
      <c r="F735" s="11">
        <f>ROUNDUP(E735*Controls!$B$4,4)</f>
        <v/>
      </c>
      <c r="G735" s="12">
        <f>F735/E735</f>
        <v/>
      </c>
      <c r="H735" s="10">
        <f>(A735-B735-(D735-1))/(A735-(D735-1))</f>
        <v/>
      </c>
      <c r="I735" s="9">
        <f>A735&amp;'x'&amp;B735</f>
        <v/>
      </c>
      <c r="J735" s="9">
        <f>IF(AND(G735&gt;0.9,G735&lt;1),"OK","CHECK")</f>
        <v/>
      </c>
    </row>
    <row r="736">
      <c r="A736" s="9" t="n">
        <v>36</v>
      </c>
      <c r="B736" s="9" t="n">
        <v>9</v>
      </c>
      <c r="C736" s="9" t="n">
        <v>27</v>
      </c>
      <c r="D736" s="9" t="n">
        <v>25</v>
      </c>
      <c r="E736" s="10">
        <f>COMBIN(A736,D736)/COMBIN(A736-B736,D736)</f>
        <v/>
      </c>
      <c r="F736" s="11">
        <f>ROUNDUP(E736*Controls!$B$4,4)</f>
        <v/>
      </c>
      <c r="G736" s="12">
        <f>F736/E736</f>
        <v/>
      </c>
      <c r="H736" s="10">
        <f>(A736-B736-(D736-1))/(A736-(D736-1))</f>
        <v/>
      </c>
      <c r="I736" s="9">
        <f>A736&amp;'x'&amp;B736</f>
        <v/>
      </c>
      <c r="J736" s="9">
        <f>IF(AND(G736&gt;0.9,G736&lt;1),"OK","CHECK")</f>
        <v/>
      </c>
    </row>
    <row r="737">
      <c r="A737" s="9" t="n">
        <v>36</v>
      </c>
      <c r="B737" s="9" t="n">
        <v>9</v>
      </c>
      <c r="C737" s="9" t="n">
        <v>27</v>
      </c>
      <c r="D737" s="9" t="n">
        <v>26</v>
      </c>
      <c r="E737" s="10">
        <f>COMBIN(A737,D737)/COMBIN(A737-B737,D737)</f>
        <v/>
      </c>
      <c r="F737" s="11">
        <f>ROUNDUP(E737*Controls!$B$4,4)</f>
        <v/>
      </c>
      <c r="G737" s="12">
        <f>F737/E737</f>
        <v/>
      </c>
      <c r="H737" s="10">
        <f>(A737-B737-(D737-1))/(A737-(D737-1))</f>
        <v/>
      </c>
      <c r="I737" s="9">
        <f>A737&amp;'x'&amp;B737</f>
        <v/>
      </c>
      <c r="J737" s="9">
        <f>IF(AND(G737&gt;0.9,G737&lt;1),"OK","CHECK")</f>
        <v/>
      </c>
    </row>
    <row r="738">
      <c r="A738" s="9" t="n">
        <v>36</v>
      </c>
      <c r="B738" s="9" t="n">
        <v>9</v>
      </c>
      <c r="C738" s="9" t="n">
        <v>27</v>
      </c>
      <c r="D738" s="9" t="n">
        <v>27</v>
      </c>
      <c r="E738" s="10">
        <f>COMBIN(A738,D738)/COMBIN(A738-B738,D738)</f>
        <v/>
      </c>
      <c r="F738" s="11">
        <f>ROUNDUP(E738*Controls!$B$4,4)</f>
        <v/>
      </c>
      <c r="G738" s="12">
        <f>F738/E738</f>
        <v/>
      </c>
      <c r="H738" s="10">
        <f>(A738-B738-(D738-1))/(A738-(D738-1))</f>
        <v/>
      </c>
      <c r="I738" s="9">
        <f>A738&amp;'x'&amp;B738</f>
        <v/>
      </c>
      <c r="J738" s="9">
        <f>IF(AND(G738&gt;0.9,G738&lt;1),"OK","CHECK")</f>
        <v/>
      </c>
    </row>
    <row r="739">
      <c r="A739" s="9" t="n">
        <v>36</v>
      </c>
      <c r="B739" s="9" t="n">
        <v>10</v>
      </c>
      <c r="C739" s="9" t="n">
        <v>26</v>
      </c>
      <c r="D739" s="9" t="n">
        <v>1</v>
      </c>
      <c r="E739" s="10">
        <f>COMBIN(A739,D739)/COMBIN(A739-B739,D739)</f>
        <v/>
      </c>
      <c r="F739" s="11">
        <f>ROUNDUP(E739*Controls!$B$4,4)</f>
        <v/>
      </c>
      <c r="G739" s="12">
        <f>F739/E739</f>
        <v/>
      </c>
      <c r="H739" s="10">
        <f>(A739-B739-(D739-1))/(A739-(D739-1))</f>
        <v/>
      </c>
      <c r="I739" s="9">
        <f>A739&amp;'x'&amp;B739</f>
        <v/>
      </c>
      <c r="J739" s="9">
        <f>IF(AND(G739&gt;0.9,G739&lt;1),"OK","CHECK")</f>
        <v/>
      </c>
    </row>
    <row r="740">
      <c r="A740" s="9" t="n">
        <v>36</v>
      </c>
      <c r="B740" s="9" t="n">
        <v>10</v>
      </c>
      <c r="C740" s="9" t="n">
        <v>26</v>
      </c>
      <c r="D740" s="9" t="n">
        <v>2</v>
      </c>
      <c r="E740" s="10">
        <f>COMBIN(A740,D740)/COMBIN(A740-B740,D740)</f>
        <v/>
      </c>
      <c r="F740" s="11">
        <f>ROUNDUP(E740*Controls!$B$4,4)</f>
        <v/>
      </c>
      <c r="G740" s="12">
        <f>F740/E740</f>
        <v/>
      </c>
      <c r="H740" s="10">
        <f>(A740-B740-(D740-1))/(A740-(D740-1))</f>
        <v/>
      </c>
      <c r="I740" s="9">
        <f>A740&amp;'x'&amp;B740</f>
        <v/>
      </c>
      <c r="J740" s="9">
        <f>IF(AND(G740&gt;0.9,G740&lt;1),"OK","CHECK")</f>
        <v/>
      </c>
    </row>
    <row r="741">
      <c r="A741" s="9" t="n">
        <v>36</v>
      </c>
      <c r="B741" s="9" t="n">
        <v>10</v>
      </c>
      <c r="C741" s="9" t="n">
        <v>26</v>
      </c>
      <c r="D741" s="9" t="n">
        <v>3</v>
      </c>
      <c r="E741" s="10">
        <f>COMBIN(A741,D741)/COMBIN(A741-B741,D741)</f>
        <v/>
      </c>
      <c r="F741" s="11">
        <f>ROUNDUP(E741*Controls!$B$4,4)</f>
        <v/>
      </c>
      <c r="G741" s="12">
        <f>F741/E741</f>
        <v/>
      </c>
      <c r="H741" s="10">
        <f>(A741-B741-(D741-1))/(A741-(D741-1))</f>
        <v/>
      </c>
      <c r="I741" s="9">
        <f>A741&amp;'x'&amp;B741</f>
        <v/>
      </c>
      <c r="J741" s="9">
        <f>IF(AND(G741&gt;0.9,G741&lt;1),"OK","CHECK")</f>
        <v/>
      </c>
    </row>
    <row r="742">
      <c r="A742" s="9" t="n">
        <v>36</v>
      </c>
      <c r="B742" s="9" t="n">
        <v>10</v>
      </c>
      <c r="C742" s="9" t="n">
        <v>26</v>
      </c>
      <c r="D742" s="9" t="n">
        <v>4</v>
      </c>
      <c r="E742" s="10">
        <f>COMBIN(A742,D742)/COMBIN(A742-B742,D742)</f>
        <v/>
      </c>
      <c r="F742" s="11">
        <f>ROUNDUP(E742*Controls!$B$4,4)</f>
        <v/>
      </c>
      <c r="G742" s="12">
        <f>F742/E742</f>
        <v/>
      </c>
      <c r="H742" s="10">
        <f>(A742-B742-(D742-1))/(A742-(D742-1))</f>
        <v/>
      </c>
      <c r="I742" s="9">
        <f>A742&amp;'x'&amp;B742</f>
        <v/>
      </c>
      <c r="J742" s="9">
        <f>IF(AND(G742&gt;0.9,G742&lt;1),"OK","CHECK")</f>
        <v/>
      </c>
    </row>
    <row r="743">
      <c r="A743" s="9" t="n">
        <v>36</v>
      </c>
      <c r="B743" s="9" t="n">
        <v>10</v>
      </c>
      <c r="C743" s="9" t="n">
        <v>26</v>
      </c>
      <c r="D743" s="9" t="n">
        <v>5</v>
      </c>
      <c r="E743" s="10">
        <f>COMBIN(A743,D743)/COMBIN(A743-B743,D743)</f>
        <v/>
      </c>
      <c r="F743" s="11">
        <f>ROUNDUP(E743*Controls!$B$4,4)</f>
        <v/>
      </c>
      <c r="G743" s="12">
        <f>F743/E743</f>
        <v/>
      </c>
      <c r="H743" s="10">
        <f>(A743-B743-(D743-1))/(A743-(D743-1))</f>
        <v/>
      </c>
      <c r="I743" s="9">
        <f>A743&amp;'x'&amp;B743</f>
        <v/>
      </c>
      <c r="J743" s="9">
        <f>IF(AND(G743&gt;0.9,G743&lt;1),"OK","CHECK")</f>
        <v/>
      </c>
    </row>
    <row r="744">
      <c r="A744" s="9" t="n">
        <v>36</v>
      </c>
      <c r="B744" s="9" t="n">
        <v>10</v>
      </c>
      <c r="C744" s="9" t="n">
        <v>26</v>
      </c>
      <c r="D744" s="9" t="n">
        <v>6</v>
      </c>
      <c r="E744" s="10">
        <f>COMBIN(A744,D744)/COMBIN(A744-B744,D744)</f>
        <v/>
      </c>
      <c r="F744" s="11">
        <f>ROUNDUP(E744*Controls!$B$4,4)</f>
        <v/>
      </c>
      <c r="G744" s="12">
        <f>F744/E744</f>
        <v/>
      </c>
      <c r="H744" s="10">
        <f>(A744-B744-(D744-1))/(A744-(D744-1))</f>
        <v/>
      </c>
      <c r="I744" s="9">
        <f>A744&amp;'x'&amp;B744</f>
        <v/>
      </c>
      <c r="J744" s="9">
        <f>IF(AND(G744&gt;0.9,G744&lt;1),"OK","CHECK")</f>
        <v/>
      </c>
    </row>
    <row r="745">
      <c r="A745" s="9" t="n">
        <v>36</v>
      </c>
      <c r="B745" s="9" t="n">
        <v>10</v>
      </c>
      <c r="C745" s="9" t="n">
        <v>26</v>
      </c>
      <c r="D745" s="9" t="n">
        <v>7</v>
      </c>
      <c r="E745" s="10">
        <f>COMBIN(A745,D745)/COMBIN(A745-B745,D745)</f>
        <v/>
      </c>
      <c r="F745" s="11">
        <f>ROUNDUP(E745*Controls!$B$4,4)</f>
        <v/>
      </c>
      <c r="G745" s="12">
        <f>F745/E745</f>
        <v/>
      </c>
      <c r="H745" s="10">
        <f>(A745-B745-(D745-1))/(A745-(D745-1))</f>
        <v/>
      </c>
      <c r="I745" s="9">
        <f>A745&amp;'x'&amp;B745</f>
        <v/>
      </c>
      <c r="J745" s="9">
        <f>IF(AND(G745&gt;0.9,G745&lt;1),"OK","CHECK")</f>
        <v/>
      </c>
    </row>
    <row r="746">
      <c r="A746" s="9" t="n">
        <v>36</v>
      </c>
      <c r="B746" s="9" t="n">
        <v>10</v>
      </c>
      <c r="C746" s="9" t="n">
        <v>26</v>
      </c>
      <c r="D746" s="9" t="n">
        <v>8</v>
      </c>
      <c r="E746" s="10">
        <f>COMBIN(A746,D746)/COMBIN(A746-B746,D746)</f>
        <v/>
      </c>
      <c r="F746" s="11">
        <f>ROUNDUP(E746*Controls!$B$4,4)</f>
        <v/>
      </c>
      <c r="G746" s="12">
        <f>F746/E746</f>
        <v/>
      </c>
      <c r="H746" s="10">
        <f>(A746-B746-(D746-1))/(A746-(D746-1))</f>
        <v/>
      </c>
      <c r="I746" s="9">
        <f>A746&amp;'x'&amp;B746</f>
        <v/>
      </c>
      <c r="J746" s="9">
        <f>IF(AND(G746&gt;0.9,G746&lt;1),"OK","CHECK")</f>
        <v/>
      </c>
    </row>
    <row r="747">
      <c r="A747" s="9" t="n">
        <v>36</v>
      </c>
      <c r="B747" s="9" t="n">
        <v>10</v>
      </c>
      <c r="C747" s="9" t="n">
        <v>26</v>
      </c>
      <c r="D747" s="9" t="n">
        <v>9</v>
      </c>
      <c r="E747" s="10">
        <f>COMBIN(A747,D747)/COMBIN(A747-B747,D747)</f>
        <v/>
      </c>
      <c r="F747" s="11">
        <f>ROUNDUP(E747*Controls!$B$4,4)</f>
        <v/>
      </c>
      <c r="G747" s="12">
        <f>F747/E747</f>
        <v/>
      </c>
      <c r="H747" s="10">
        <f>(A747-B747-(D747-1))/(A747-(D747-1))</f>
        <v/>
      </c>
      <c r="I747" s="9">
        <f>A747&amp;'x'&amp;B747</f>
        <v/>
      </c>
      <c r="J747" s="9">
        <f>IF(AND(G747&gt;0.9,G747&lt;1),"OK","CHECK")</f>
        <v/>
      </c>
    </row>
    <row r="748">
      <c r="A748" s="9" t="n">
        <v>36</v>
      </c>
      <c r="B748" s="9" t="n">
        <v>10</v>
      </c>
      <c r="C748" s="9" t="n">
        <v>26</v>
      </c>
      <c r="D748" s="9" t="n">
        <v>10</v>
      </c>
      <c r="E748" s="10">
        <f>COMBIN(A748,D748)/COMBIN(A748-B748,D748)</f>
        <v/>
      </c>
      <c r="F748" s="11">
        <f>ROUNDUP(E748*Controls!$B$4,4)</f>
        <v/>
      </c>
      <c r="G748" s="12">
        <f>F748/E748</f>
        <v/>
      </c>
      <c r="H748" s="10">
        <f>(A748-B748-(D748-1))/(A748-(D748-1))</f>
        <v/>
      </c>
      <c r="I748" s="9">
        <f>A748&amp;'x'&amp;B748</f>
        <v/>
      </c>
      <c r="J748" s="9">
        <f>IF(AND(G748&gt;0.9,G748&lt;1),"OK","CHECK")</f>
        <v/>
      </c>
    </row>
    <row r="749">
      <c r="A749" s="9" t="n">
        <v>36</v>
      </c>
      <c r="B749" s="9" t="n">
        <v>10</v>
      </c>
      <c r="C749" s="9" t="n">
        <v>26</v>
      </c>
      <c r="D749" s="9" t="n">
        <v>11</v>
      </c>
      <c r="E749" s="10">
        <f>COMBIN(A749,D749)/COMBIN(A749-B749,D749)</f>
        <v/>
      </c>
      <c r="F749" s="11">
        <f>ROUNDUP(E749*Controls!$B$4,4)</f>
        <v/>
      </c>
      <c r="G749" s="12">
        <f>F749/E749</f>
        <v/>
      </c>
      <c r="H749" s="10">
        <f>(A749-B749-(D749-1))/(A749-(D749-1))</f>
        <v/>
      </c>
      <c r="I749" s="9">
        <f>A749&amp;'x'&amp;B749</f>
        <v/>
      </c>
      <c r="J749" s="9">
        <f>IF(AND(G749&gt;0.9,G749&lt;1),"OK","CHECK")</f>
        <v/>
      </c>
    </row>
    <row r="750">
      <c r="A750" s="9" t="n">
        <v>36</v>
      </c>
      <c r="B750" s="9" t="n">
        <v>10</v>
      </c>
      <c r="C750" s="9" t="n">
        <v>26</v>
      </c>
      <c r="D750" s="9" t="n">
        <v>12</v>
      </c>
      <c r="E750" s="10">
        <f>COMBIN(A750,D750)/COMBIN(A750-B750,D750)</f>
        <v/>
      </c>
      <c r="F750" s="11">
        <f>ROUNDUP(E750*Controls!$B$4,4)</f>
        <v/>
      </c>
      <c r="G750" s="12">
        <f>F750/E750</f>
        <v/>
      </c>
      <c r="H750" s="10">
        <f>(A750-B750-(D750-1))/(A750-(D750-1))</f>
        <v/>
      </c>
      <c r="I750" s="9">
        <f>A750&amp;'x'&amp;B750</f>
        <v/>
      </c>
      <c r="J750" s="9">
        <f>IF(AND(G750&gt;0.9,G750&lt;1),"OK","CHECK")</f>
        <v/>
      </c>
    </row>
    <row r="751">
      <c r="A751" s="9" t="n">
        <v>36</v>
      </c>
      <c r="B751" s="9" t="n">
        <v>10</v>
      </c>
      <c r="C751" s="9" t="n">
        <v>26</v>
      </c>
      <c r="D751" s="9" t="n">
        <v>13</v>
      </c>
      <c r="E751" s="10">
        <f>COMBIN(A751,D751)/COMBIN(A751-B751,D751)</f>
        <v/>
      </c>
      <c r="F751" s="11">
        <f>ROUNDUP(E751*Controls!$B$4,4)</f>
        <v/>
      </c>
      <c r="G751" s="12">
        <f>F751/E751</f>
        <v/>
      </c>
      <c r="H751" s="10">
        <f>(A751-B751-(D751-1))/(A751-(D751-1))</f>
        <v/>
      </c>
      <c r="I751" s="9">
        <f>A751&amp;'x'&amp;B751</f>
        <v/>
      </c>
      <c r="J751" s="9">
        <f>IF(AND(G751&gt;0.9,G751&lt;1),"OK","CHECK")</f>
        <v/>
      </c>
    </row>
    <row r="752">
      <c r="A752" s="9" t="n">
        <v>36</v>
      </c>
      <c r="B752" s="9" t="n">
        <v>10</v>
      </c>
      <c r="C752" s="9" t="n">
        <v>26</v>
      </c>
      <c r="D752" s="9" t="n">
        <v>14</v>
      </c>
      <c r="E752" s="10">
        <f>COMBIN(A752,D752)/COMBIN(A752-B752,D752)</f>
        <v/>
      </c>
      <c r="F752" s="11">
        <f>ROUNDUP(E752*Controls!$B$4,4)</f>
        <v/>
      </c>
      <c r="G752" s="12">
        <f>F752/E752</f>
        <v/>
      </c>
      <c r="H752" s="10">
        <f>(A752-B752-(D752-1))/(A752-(D752-1))</f>
        <v/>
      </c>
      <c r="I752" s="9">
        <f>A752&amp;'x'&amp;B752</f>
        <v/>
      </c>
      <c r="J752" s="9">
        <f>IF(AND(G752&gt;0.9,G752&lt;1),"OK","CHECK")</f>
        <v/>
      </c>
    </row>
    <row r="753">
      <c r="A753" s="9" t="n">
        <v>36</v>
      </c>
      <c r="B753" s="9" t="n">
        <v>10</v>
      </c>
      <c r="C753" s="9" t="n">
        <v>26</v>
      </c>
      <c r="D753" s="9" t="n">
        <v>15</v>
      </c>
      <c r="E753" s="10">
        <f>COMBIN(A753,D753)/COMBIN(A753-B753,D753)</f>
        <v/>
      </c>
      <c r="F753" s="11">
        <f>ROUNDUP(E753*Controls!$B$4,4)</f>
        <v/>
      </c>
      <c r="G753" s="12">
        <f>F753/E753</f>
        <v/>
      </c>
      <c r="H753" s="10">
        <f>(A753-B753-(D753-1))/(A753-(D753-1))</f>
        <v/>
      </c>
      <c r="I753" s="9">
        <f>A753&amp;'x'&amp;B753</f>
        <v/>
      </c>
      <c r="J753" s="9">
        <f>IF(AND(G753&gt;0.9,G753&lt;1),"OK","CHECK")</f>
        <v/>
      </c>
    </row>
    <row r="754">
      <c r="A754" s="9" t="n">
        <v>36</v>
      </c>
      <c r="B754" s="9" t="n">
        <v>10</v>
      </c>
      <c r="C754" s="9" t="n">
        <v>26</v>
      </c>
      <c r="D754" s="9" t="n">
        <v>16</v>
      </c>
      <c r="E754" s="10">
        <f>COMBIN(A754,D754)/COMBIN(A754-B754,D754)</f>
        <v/>
      </c>
      <c r="F754" s="11">
        <f>ROUNDUP(E754*Controls!$B$4,4)</f>
        <v/>
      </c>
      <c r="G754" s="12">
        <f>F754/E754</f>
        <v/>
      </c>
      <c r="H754" s="10">
        <f>(A754-B754-(D754-1))/(A754-(D754-1))</f>
        <v/>
      </c>
      <c r="I754" s="9">
        <f>A754&amp;'x'&amp;B754</f>
        <v/>
      </c>
      <c r="J754" s="9">
        <f>IF(AND(G754&gt;0.9,G754&lt;1),"OK","CHECK")</f>
        <v/>
      </c>
    </row>
    <row r="755">
      <c r="A755" s="9" t="n">
        <v>36</v>
      </c>
      <c r="B755" s="9" t="n">
        <v>10</v>
      </c>
      <c r="C755" s="9" t="n">
        <v>26</v>
      </c>
      <c r="D755" s="9" t="n">
        <v>17</v>
      </c>
      <c r="E755" s="10">
        <f>COMBIN(A755,D755)/COMBIN(A755-B755,D755)</f>
        <v/>
      </c>
      <c r="F755" s="11">
        <f>ROUNDUP(E755*Controls!$B$4,4)</f>
        <v/>
      </c>
      <c r="G755" s="12">
        <f>F755/E755</f>
        <v/>
      </c>
      <c r="H755" s="10">
        <f>(A755-B755-(D755-1))/(A755-(D755-1))</f>
        <v/>
      </c>
      <c r="I755" s="9">
        <f>A755&amp;'x'&amp;B755</f>
        <v/>
      </c>
      <c r="J755" s="9">
        <f>IF(AND(G755&gt;0.9,G755&lt;1),"OK","CHECK")</f>
        <v/>
      </c>
    </row>
    <row r="756">
      <c r="A756" s="9" t="n">
        <v>36</v>
      </c>
      <c r="B756" s="9" t="n">
        <v>10</v>
      </c>
      <c r="C756" s="9" t="n">
        <v>26</v>
      </c>
      <c r="D756" s="9" t="n">
        <v>18</v>
      </c>
      <c r="E756" s="10">
        <f>COMBIN(A756,D756)/COMBIN(A756-B756,D756)</f>
        <v/>
      </c>
      <c r="F756" s="11">
        <f>ROUNDUP(E756*Controls!$B$4,4)</f>
        <v/>
      </c>
      <c r="G756" s="12">
        <f>F756/E756</f>
        <v/>
      </c>
      <c r="H756" s="10">
        <f>(A756-B756-(D756-1))/(A756-(D756-1))</f>
        <v/>
      </c>
      <c r="I756" s="9">
        <f>A756&amp;'x'&amp;B756</f>
        <v/>
      </c>
      <c r="J756" s="9">
        <f>IF(AND(G756&gt;0.9,G756&lt;1),"OK","CHECK")</f>
        <v/>
      </c>
    </row>
    <row r="757">
      <c r="A757" s="9" t="n">
        <v>36</v>
      </c>
      <c r="B757" s="9" t="n">
        <v>10</v>
      </c>
      <c r="C757" s="9" t="n">
        <v>26</v>
      </c>
      <c r="D757" s="9" t="n">
        <v>19</v>
      </c>
      <c r="E757" s="10">
        <f>COMBIN(A757,D757)/COMBIN(A757-B757,D757)</f>
        <v/>
      </c>
      <c r="F757" s="11">
        <f>ROUNDUP(E757*Controls!$B$4,4)</f>
        <v/>
      </c>
      <c r="G757" s="12">
        <f>F757/E757</f>
        <v/>
      </c>
      <c r="H757" s="10">
        <f>(A757-B757-(D757-1))/(A757-(D757-1))</f>
        <v/>
      </c>
      <c r="I757" s="9">
        <f>A757&amp;'x'&amp;B757</f>
        <v/>
      </c>
      <c r="J757" s="9">
        <f>IF(AND(G757&gt;0.9,G757&lt;1),"OK","CHECK")</f>
        <v/>
      </c>
    </row>
    <row r="758">
      <c r="A758" s="9" t="n">
        <v>36</v>
      </c>
      <c r="B758" s="9" t="n">
        <v>10</v>
      </c>
      <c r="C758" s="9" t="n">
        <v>26</v>
      </c>
      <c r="D758" s="9" t="n">
        <v>20</v>
      </c>
      <c r="E758" s="10">
        <f>COMBIN(A758,D758)/COMBIN(A758-B758,D758)</f>
        <v/>
      </c>
      <c r="F758" s="11">
        <f>ROUNDUP(E758*Controls!$B$4,4)</f>
        <v/>
      </c>
      <c r="G758" s="12">
        <f>F758/E758</f>
        <v/>
      </c>
      <c r="H758" s="10">
        <f>(A758-B758-(D758-1))/(A758-(D758-1))</f>
        <v/>
      </c>
      <c r="I758" s="9">
        <f>A758&amp;'x'&amp;B758</f>
        <v/>
      </c>
      <c r="J758" s="9">
        <f>IF(AND(G758&gt;0.9,G758&lt;1),"OK","CHECK")</f>
        <v/>
      </c>
    </row>
    <row r="759">
      <c r="A759" s="9" t="n">
        <v>36</v>
      </c>
      <c r="B759" s="9" t="n">
        <v>10</v>
      </c>
      <c r="C759" s="9" t="n">
        <v>26</v>
      </c>
      <c r="D759" s="9" t="n">
        <v>21</v>
      </c>
      <c r="E759" s="10">
        <f>COMBIN(A759,D759)/COMBIN(A759-B759,D759)</f>
        <v/>
      </c>
      <c r="F759" s="11">
        <f>ROUNDUP(E759*Controls!$B$4,4)</f>
        <v/>
      </c>
      <c r="G759" s="12">
        <f>F759/E759</f>
        <v/>
      </c>
      <c r="H759" s="10">
        <f>(A759-B759-(D759-1))/(A759-(D759-1))</f>
        <v/>
      </c>
      <c r="I759" s="9">
        <f>A759&amp;'x'&amp;B759</f>
        <v/>
      </c>
      <c r="J759" s="9">
        <f>IF(AND(G759&gt;0.9,G759&lt;1),"OK","CHECK")</f>
        <v/>
      </c>
    </row>
    <row r="760">
      <c r="A760" s="9" t="n">
        <v>36</v>
      </c>
      <c r="B760" s="9" t="n">
        <v>10</v>
      </c>
      <c r="C760" s="9" t="n">
        <v>26</v>
      </c>
      <c r="D760" s="9" t="n">
        <v>22</v>
      </c>
      <c r="E760" s="10">
        <f>COMBIN(A760,D760)/COMBIN(A760-B760,D760)</f>
        <v/>
      </c>
      <c r="F760" s="11">
        <f>ROUNDUP(E760*Controls!$B$4,4)</f>
        <v/>
      </c>
      <c r="G760" s="12">
        <f>F760/E760</f>
        <v/>
      </c>
      <c r="H760" s="10">
        <f>(A760-B760-(D760-1))/(A760-(D760-1))</f>
        <v/>
      </c>
      <c r="I760" s="9">
        <f>A760&amp;'x'&amp;B760</f>
        <v/>
      </c>
      <c r="J760" s="9">
        <f>IF(AND(G760&gt;0.9,G760&lt;1),"OK","CHECK")</f>
        <v/>
      </c>
    </row>
    <row r="761">
      <c r="A761" s="9" t="n">
        <v>36</v>
      </c>
      <c r="B761" s="9" t="n">
        <v>10</v>
      </c>
      <c r="C761" s="9" t="n">
        <v>26</v>
      </c>
      <c r="D761" s="9" t="n">
        <v>23</v>
      </c>
      <c r="E761" s="10">
        <f>COMBIN(A761,D761)/COMBIN(A761-B761,D761)</f>
        <v/>
      </c>
      <c r="F761" s="11">
        <f>ROUNDUP(E761*Controls!$B$4,4)</f>
        <v/>
      </c>
      <c r="G761" s="12">
        <f>F761/E761</f>
        <v/>
      </c>
      <c r="H761" s="10">
        <f>(A761-B761-(D761-1))/(A761-(D761-1))</f>
        <v/>
      </c>
      <c r="I761" s="9">
        <f>A761&amp;'x'&amp;B761</f>
        <v/>
      </c>
      <c r="J761" s="9">
        <f>IF(AND(G761&gt;0.9,G761&lt;1),"OK","CHECK")</f>
        <v/>
      </c>
    </row>
    <row r="762">
      <c r="A762" s="9" t="n">
        <v>36</v>
      </c>
      <c r="B762" s="9" t="n">
        <v>10</v>
      </c>
      <c r="C762" s="9" t="n">
        <v>26</v>
      </c>
      <c r="D762" s="9" t="n">
        <v>24</v>
      </c>
      <c r="E762" s="10">
        <f>COMBIN(A762,D762)/COMBIN(A762-B762,D762)</f>
        <v/>
      </c>
      <c r="F762" s="11">
        <f>ROUNDUP(E762*Controls!$B$4,4)</f>
        <v/>
      </c>
      <c r="G762" s="12">
        <f>F762/E762</f>
        <v/>
      </c>
      <c r="H762" s="10">
        <f>(A762-B762-(D762-1))/(A762-(D762-1))</f>
        <v/>
      </c>
      <c r="I762" s="9">
        <f>A762&amp;'x'&amp;B762</f>
        <v/>
      </c>
      <c r="J762" s="9">
        <f>IF(AND(G762&gt;0.9,G762&lt;1),"OK","CHECK")</f>
        <v/>
      </c>
    </row>
    <row r="763">
      <c r="A763" s="9" t="n">
        <v>36</v>
      </c>
      <c r="B763" s="9" t="n">
        <v>10</v>
      </c>
      <c r="C763" s="9" t="n">
        <v>26</v>
      </c>
      <c r="D763" s="9" t="n">
        <v>25</v>
      </c>
      <c r="E763" s="10">
        <f>COMBIN(A763,D763)/COMBIN(A763-B763,D763)</f>
        <v/>
      </c>
      <c r="F763" s="11">
        <f>ROUNDUP(E763*Controls!$B$4,4)</f>
        <v/>
      </c>
      <c r="G763" s="12">
        <f>F763/E763</f>
        <v/>
      </c>
      <c r="H763" s="10">
        <f>(A763-B763-(D763-1))/(A763-(D763-1))</f>
        <v/>
      </c>
      <c r="I763" s="9">
        <f>A763&amp;'x'&amp;B763</f>
        <v/>
      </c>
      <c r="J763" s="9">
        <f>IF(AND(G763&gt;0.9,G763&lt;1),"OK","CHECK")</f>
        <v/>
      </c>
    </row>
    <row r="764">
      <c r="A764" s="9" t="n">
        <v>36</v>
      </c>
      <c r="B764" s="9" t="n">
        <v>10</v>
      </c>
      <c r="C764" s="9" t="n">
        <v>26</v>
      </c>
      <c r="D764" s="9" t="n">
        <v>26</v>
      </c>
      <c r="E764" s="10">
        <f>COMBIN(A764,D764)/COMBIN(A764-B764,D764)</f>
        <v/>
      </c>
      <c r="F764" s="11">
        <f>ROUNDUP(E764*Controls!$B$4,4)</f>
        <v/>
      </c>
      <c r="G764" s="12">
        <f>F764/E764</f>
        <v/>
      </c>
      <c r="H764" s="10">
        <f>(A764-B764-(D764-1))/(A764-(D764-1))</f>
        <v/>
      </c>
      <c r="I764" s="9">
        <f>A764&amp;'x'&amp;B764</f>
        <v/>
      </c>
      <c r="J764" s="9">
        <f>IF(AND(G764&gt;0.9,G764&lt;1),"OK","CHECK")</f>
        <v/>
      </c>
    </row>
    <row r="765">
      <c r="A765" s="9" t="n">
        <v>36</v>
      </c>
      <c r="B765" s="9" t="n">
        <v>11</v>
      </c>
      <c r="C765" s="9" t="n">
        <v>25</v>
      </c>
      <c r="D765" s="9" t="n">
        <v>1</v>
      </c>
      <c r="E765" s="10">
        <f>COMBIN(A765,D765)/COMBIN(A765-B765,D765)</f>
        <v/>
      </c>
      <c r="F765" s="11">
        <f>ROUNDUP(E765*Controls!$B$4,4)</f>
        <v/>
      </c>
      <c r="G765" s="12">
        <f>F765/E765</f>
        <v/>
      </c>
      <c r="H765" s="10">
        <f>(A765-B765-(D765-1))/(A765-(D765-1))</f>
        <v/>
      </c>
      <c r="I765" s="9">
        <f>A765&amp;'x'&amp;B765</f>
        <v/>
      </c>
      <c r="J765" s="9">
        <f>IF(AND(G765&gt;0.9,G765&lt;1),"OK","CHECK")</f>
        <v/>
      </c>
    </row>
    <row r="766">
      <c r="A766" s="9" t="n">
        <v>36</v>
      </c>
      <c r="B766" s="9" t="n">
        <v>11</v>
      </c>
      <c r="C766" s="9" t="n">
        <v>25</v>
      </c>
      <c r="D766" s="9" t="n">
        <v>2</v>
      </c>
      <c r="E766" s="10">
        <f>COMBIN(A766,D766)/COMBIN(A766-B766,D766)</f>
        <v/>
      </c>
      <c r="F766" s="11">
        <f>ROUNDUP(E766*Controls!$B$4,4)</f>
        <v/>
      </c>
      <c r="G766" s="12">
        <f>F766/E766</f>
        <v/>
      </c>
      <c r="H766" s="10">
        <f>(A766-B766-(D766-1))/(A766-(D766-1))</f>
        <v/>
      </c>
      <c r="I766" s="9">
        <f>A766&amp;'x'&amp;B766</f>
        <v/>
      </c>
      <c r="J766" s="9">
        <f>IF(AND(G766&gt;0.9,G766&lt;1),"OK","CHECK")</f>
        <v/>
      </c>
    </row>
    <row r="767">
      <c r="A767" s="9" t="n">
        <v>36</v>
      </c>
      <c r="B767" s="9" t="n">
        <v>11</v>
      </c>
      <c r="C767" s="9" t="n">
        <v>25</v>
      </c>
      <c r="D767" s="9" t="n">
        <v>3</v>
      </c>
      <c r="E767" s="10">
        <f>COMBIN(A767,D767)/COMBIN(A767-B767,D767)</f>
        <v/>
      </c>
      <c r="F767" s="11">
        <f>ROUNDUP(E767*Controls!$B$4,4)</f>
        <v/>
      </c>
      <c r="G767" s="12">
        <f>F767/E767</f>
        <v/>
      </c>
      <c r="H767" s="10">
        <f>(A767-B767-(D767-1))/(A767-(D767-1))</f>
        <v/>
      </c>
      <c r="I767" s="9">
        <f>A767&amp;'x'&amp;B767</f>
        <v/>
      </c>
      <c r="J767" s="9">
        <f>IF(AND(G767&gt;0.9,G767&lt;1),"OK","CHECK")</f>
        <v/>
      </c>
    </row>
    <row r="768">
      <c r="A768" s="9" t="n">
        <v>36</v>
      </c>
      <c r="B768" s="9" t="n">
        <v>11</v>
      </c>
      <c r="C768" s="9" t="n">
        <v>25</v>
      </c>
      <c r="D768" s="9" t="n">
        <v>4</v>
      </c>
      <c r="E768" s="10">
        <f>COMBIN(A768,D768)/COMBIN(A768-B768,D768)</f>
        <v/>
      </c>
      <c r="F768" s="11">
        <f>ROUNDUP(E768*Controls!$B$4,4)</f>
        <v/>
      </c>
      <c r="G768" s="12">
        <f>F768/E768</f>
        <v/>
      </c>
      <c r="H768" s="10">
        <f>(A768-B768-(D768-1))/(A768-(D768-1))</f>
        <v/>
      </c>
      <c r="I768" s="9">
        <f>A768&amp;'x'&amp;B768</f>
        <v/>
      </c>
      <c r="J768" s="9">
        <f>IF(AND(G768&gt;0.9,G768&lt;1),"OK","CHECK")</f>
        <v/>
      </c>
    </row>
    <row r="769">
      <c r="A769" s="9" t="n">
        <v>36</v>
      </c>
      <c r="B769" s="9" t="n">
        <v>11</v>
      </c>
      <c r="C769" s="9" t="n">
        <v>25</v>
      </c>
      <c r="D769" s="9" t="n">
        <v>5</v>
      </c>
      <c r="E769" s="10">
        <f>COMBIN(A769,D769)/COMBIN(A769-B769,D769)</f>
        <v/>
      </c>
      <c r="F769" s="11">
        <f>ROUNDUP(E769*Controls!$B$4,4)</f>
        <v/>
      </c>
      <c r="G769" s="12">
        <f>F769/E769</f>
        <v/>
      </c>
      <c r="H769" s="10">
        <f>(A769-B769-(D769-1))/(A769-(D769-1))</f>
        <v/>
      </c>
      <c r="I769" s="9">
        <f>A769&amp;'x'&amp;B769</f>
        <v/>
      </c>
      <c r="J769" s="9">
        <f>IF(AND(G769&gt;0.9,G769&lt;1),"OK","CHECK")</f>
        <v/>
      </c>
    </row>
    <row r="770">
      <c r="A770" s="9" t="n">
        <v>36</v>
      </c>
      <c r="B770" s="9" t="n">
        <v>11</v>
      </c>
      <c r="C770" s="9" t="n">
        <v>25</v>
      </c>
      <c r="D770" s="9" t="n">
        <v>6</v>
      </c>
      <c r="E770" s="10">
        <f>COMBIN(A770,D770)/COMBIN(A770-B770,D770)</f>
        <v/>
      </c>
      <c r="F770" s="11">
        <f>ROUNDUP(E770*Controls!$B$4,4)</f>
        <v/>
      </c>
      <c r="G770" s="12">
        <f>F770/E770</f>
        <v/>
      </c>
      <c r="H770" s="10">
        <f>(A770-B770-(D770-1))/(A770-(D770-1))</f>
        <v/>
      </c>
      <c r="I770" s="9">
        <f>A770&amp;'x'&amp;B770</f>
        <v/>
      </c>
      <c r="J770" s="9">
        <f>IF(AND(G770&gt;0.9,G770&lt;1),"OK","CHECK")</f>
        <v/>
      </c>
    </row>
    <row r="771">
      <c r="A771" s="9" t="n">
        <v>36</v>
      </c>
      <c r="B771" s="9" t="n">
        <v>11</v>
      </c>
      <c r="C771" s="9" t="n">
        <v>25</v>
      </c>
      <c r="D771" s="9" t="n">
        <v>7</v>
      </c>
      <c r="E771" s="10">
        <f>COMBIN(A771,D771)/COMBIN(A771-B771,D771)</f>
        <v/>
      </c>
      <c r="F771" s="11">
        <f>ROUNDUP(E771*Controls!$B$4,4)</f>
        <v/>
      </c>
      <c r="G771" s="12">
        <f>F771/E771</f>
        <v/>
      </c>
      <c r="H771" s="10">
        <f>(A771-B771-(D771-1))/(A771-(D771-1))</f>
        <v/>
      </c>
      <c r="I771" s="9">
        <f>A771&amp;'x'&amp;B771</f>
        <v/>
      </c>
      <c r="J771" s="9">
        <f>IF(AND(G771&gt;0.9,G771&lt;1),"OK","CHECK")</f>
        <v/>
      </c>
    </row>
    <row r="772">
      <c r="A772" s="9" t="n">
        <v>36</v>
      </c>
      <c r="B772" s="9" t="n">
        <v>11</v>
      </c>
      <c r="C772" s="9" t="n">
        <v>25</v>
      </c>
      <c r="D772" s="9" t="n">
        <v>8</v>
      </c>
      <c r="E772" s="10">
        <f>COMBIN(A772,D772)/COMBIN(A772-B772,D772)</f>
        <v/>
      </c>
      <c r="F772" s="11">
        <f>ROUNDUP(E772*Controls!$B$4,4)</f>
        <v/>
      </c>
      <c r="G772" s="12">
        <f>F772/E772</f>
        <v/>
      </c>
      <c r="H772" s="10">
        <f>(A772-B772-(D772-1))/(A772-(D772-1))</f>
        <v/>
      </c>
      <c r="I772" s="9">
        <f>A772&amp;'x'&amp;B772</f>
        <v/>
      </c>
      <c r="J772" s="9">
        <f>IF(AND(G772&gt;0.9,G772&lt;1),"OK","CHECK")</f>
        <v/>
      </c>
    </row>
    <row r="773">
      <c r="A773" s="9" t="n">
        <v>36</v>
      </c>
      <c r="B773" s="9" t="n">
        <v>11</v>
      </c>
      <c r="C773" s="9" t="n">
        <v>25</v>
      </c>
      <c r="D773" s="9" t="n">
        <v>9</v>
      </c>
      <c r="E773" s="10">
        <f>COMBIN(A773,D773)/COMBIN(A773-B773,D773)</f>
        <v/>
      </c>
      <c r="F773" s="11">
        <f>ROUNDUP(E773*Controls!$B$4,4)</f>
        <v/>
      </c>
      <c r="G773" s="12">
        <f>F773/E773</f>
        <v/>
      </c>
      <c r="H773" s="10">
        <f>(A773-B773-(D773-1))/(A773-(D773-1))</f>
        <v/>
      </c>
      <c r="I773" s="9">
        <f>A773&amp;'x'&amp;B773</f>
        <v/>
      </c>
      <c r="J773" s="9">
        <f>IF(AND(G773&gt;0.9,G773&lt;1),"OK","CHECK")</f>
        <v/>
      </c>
    </row>
    <row r="774">
      <c r="A774" s="9" t="n">
        <v>36</v>
      </c>
      <c r="B774" s="9" t="n">
        <v>11</v>
      </c>
      <c r="C774" s="9" t="n">
        <v>25</v>
      </c>
      <c r="D774" s="9" t="n">
        <v>10</v>
      </c>
      <c r="E774" s="10">
        <f>COMBIN(A774,D774)/COMBIN(A774-B774,D774)</f>
        <v/>
      </c>
      <c r="F774" s="11">
        <f>ROUNDUP(E774*Controls!$B$4,4)</f>
        <v/>
      </c>
      <c r="G774" s="12">
        <f>F774/E774</f>
        <v/>
      </c>
      <c r="H774" s="10">
        <f>(A774-B774-(D774-1))/(A774-(D774-1))</f>
        <v/>
      </c>
      <c r="I774" s="9">
        <f>A774&amp;'x'&amp;B774</f>
        <v/>
      </c>
      <c r="J774" s="9">
        <f>IF(AND(G774&gt;0.9,G774&lt;1),"OK","CHECK")</f>
        <v/>
      </c>
    </row>
    <row r="775">
      <c r="A775" s="9" t="n">
        <v>36</v>
      </c>
      <c r="B775" s="9" t="n">
        <v>11</v>
      </c>
      <c r="C775" s="9" t="n">
        <v>25</v>
      </c>
      <c r="D775" s="9" t="n">
        <v>11</v>
      </c>
      <c r="E775" s="10">
        <f>COMBIN(A775,D775)/COMBIN(A775-B775,D775)</f>
        <v/>
      </c>
      <c r="F775" s="11">
        <f>ROUNDUP(E775*Controls!$B$4,4)</f>
        <v/>
      </c>
      <c r="G775" s="12">
        <f>F775/E775</f>
        <v/>
      </c>
      <c r="H775" s="10">
        <f>(A775-B775-(D775-1))/(A775-(D775-1))</f>
        <v/>
      </c>
      <c r="I775" s="9">
        <f>A775&amp;'x'&amp;B775</f>
        <v/>
      </c>
      <c r="J775" s="9">
        <f>IF(AND(G775&gt;0.9,G775&lt;1),"OK","CHECK")</f>
        <v/>
      </c>
    </row>
    <row r="776">
      <c r="A776" s="9" t="n">
        <v>36</v>
      </c>
      <c r="B776" s="9" t="n">
        <v>11</v>
      </c>
      <c r="C776" s="9" t="n">
        <v>25</v>
      </c>
      <c r="D776" s="9" t="n">
        <v>12</v>
      </c>
      <c r="E776" s="10">
        <f>COMBIN(A776,D776)/COMBIN(A776-B776,D776)</f>
        <v/>
      </c>
      <c r="F776" s="11">
        <f>ROUNDUP(E776*Controls!$B$4,4)</f>
        <v/>
      </c>
      <c r="G776" s="12">
        <f>F776/E776</f>
        <v/>
      </c>
      <c r="H776" s="10">
        <f>(A776-B776-(D776-1))/(A776-(D776-1))</f>
        <v/>
      </c>
      <c r="I776" s="9">
        <f>A776&amp;'x'&amp;B776</f>
        <v/>
      </c>
      <c r="J776" s="9">
        <f>IF(AND(G776&gt;0.9,G776&lt;1),"OK","CHECK")</f>
        <v/>
      </c>
    </row>
    <row r="777">
      <c r="A777" s="9" t="n">
        <v>36</v>
      </c>
      <c r="B777" s="9" t="n">
        <v>11</v>
      </c>
      <c r="C777" s="9" t="n">
        <v>25</v>
      </c>
      <c r="D777" s="9" t="n">
        <v>13</v>
      </c>
      <c r="E777" s="10">
        <f>COMBIN(A777,D777)/COMBIN(A777-B777,D777)</f>
        <v/>
      </c>
      <c r="F777" s="11">
        <f>ROUNDUP(E777*Controls!$B$4,4)</f>
        <v/>
      </c>
      <c r="G777" s="12">
        <f>F777/E777</f>
        <v/>
      </c>
      <c r="H777" s="10">
        <f>(A777-B777-(D777-1))/(A777-(D777-1))</f>
        <v/>
      </c>
      <c r="I777" s="9">
        <f>A777&amp;'x'&amp;B777</f>
        <v/>
      </c>
      <c r="J777" s="9">
        <f>IF(AND(G777&gt;0.9,G777&lt;1),"OK","CHECK")</f>
        <v/>
      </c>
    </row>
    <row r="778">
      <c r="A778" s="9" t="n">
        <v>36</v>
      </c>
      <c r="B778" s="9" t="n">
        <v>11</v>
      </c>
      <c r="C778" s="9" t="n">
        <v>25</v>
      </c>
      <c r="D778" s="9" t="n">
        <v>14</v>
      </c>
      <c r="E778" s="10">
        <f>COMBIN(A778,D778)/COMBIN(A778-B778,D778)</f>
        <v/>
      </c>
      <c r="F778" s="11">
        <f>ROUNDUP(E778*Controls!$B$4,4)</f>
        <v/>
      </c>
      <c r="G778" s="12">
        <f>F778/E778</f>
        <v/>
      </c>
      <c r="H778" s="10">
        <f>(A778-B778-(D778-1))/(A778-(D778-1))</f>
        <v/>
      </c>
      <c r="I778" s="9">
        <f>A778&amp;'x'&amp;B778</f>
        <v/>
      </c>
      <c r="J778" s="9">
        <f>IF(AND(G778&gt;0.9,G778&lt;1),"OK","CHECK")</f>
        <v/>
      </c>
    </row>
    <row r="779">
      <c r="A779" s="9" t="n">
        <v>36</v>
      </c>
      <c r="B779" s="9" t="n">
        <v>11</v>
      </c>
      <c r="C779" s="9" t="n">
        <v>25</v>
      </c>
      <c r="D779" s="9" t="n">
        <v>15</v>
      </c>
      <c r="E779" s="10">
        <f>COMBIN(A779,D779)/COMBIN(A779-B779,D779)</f>
        <v/>
      </c>
      <c r="F779" s="11">
        <f>ROUNDUP(E779*Controls!$B$4,4)</f>
        <v/>
      </c>
      <c r="G779" s="12">
        <f>F779/E779</f>
        <v/>
      </c>
      <c r="H779" s="10">
        <f>(A779-B779-(D779-1))/(A779-(D779-1))</f>
        <v/>
      </c>
      <c r="I779" s="9">
        <f>A779&amp;'x'&amp;B779</f>
        <v/>
      </c>
      <c r="J779" s="9">
        <f>IF(AND(G779&gt;0.9,G779&lt;1),"OK","CHECK")</f>
        <v/>
      </c>
    </row>
    <row r="780">
      <c r="A780" s="9" t="n">
        <v>36</v>
      </c>
      <c r="B780" s="9" t="n">
        <v>11</v>
      </c>
      <c r="C780" s="9" t="n">
        <v>25</v>
      </c>
      <c r="D780" s="9" t="n">
        <v>16</v>
      </c>
      <c r="E780" s="10">
        <f>COMBIN(A780,D780)/COMBIN(A780-B780,D780)</f>
        <v/>
      </c>
      <c r="F780" s="11">
        <f>ROUNDUP(E780*Controls!$B$4,4)</f>
        <v/>
      </c>
      <c r="G780" s="12">
        <f>F780/E780</f>
        <v/>
      </c>
      <c r="H780" s="10">
        <f>(A780-B780-(D780-1))/(A780-(D780-1))</f>
        <v/>
      </c>
      <c r="I780" s="9">
        <f>A780&amp;'x'&amp;B780</f>
        <v/>
      </c>
      <c r="J780" s="9">
        <f>IF(AND(G780&gt;0.9,G780&lt;1),"OK","CHECK")</f>
        <v/>
      </c>
    </row>
    <row r="781">
      <c r="A781" s="9" t="n">
        <v>36</v>
      </c>
      <c r="B781" s="9" t="n">
        <v>11</v>
      </c>
      <c r="C781" s="9" t="n">
        <v>25</v>
      </c>
      <c r="D781" s="9" t="n">
        <v>17</v>
      </c>
      <c r="E781" s="10">
        <f>COMBIN(A781,D781)/COMBIN(A781-B781,D781)</f>
        <v/>
      </c>
      <c r="F781" s="11">
        <f>ROUNDUP(E781*Controls!$B$4,4)</f>
        <v/>
      </c>
      <c r="G781" s="12">
        <f>F781/E781</f>
        <v/>
      </c>
      <c r="H781" s="10">
        <f>(A781-B781-(D781-1))/(A781-(D781-1))</f>
        <v/>
      </c>
      <c r="I781" s="9">
        <f>A781&amp;'x'&amp;B781</f>
        <v/>
      </c>
      <c r="J781" s="9">
        <f>IF(AND(G781&gt;0.9,G781&lt;1),"OK","CHECK")</f>
        <v/>
      </c>
    </row>
    <row r="782">
      <c r="A782" s="9" t="n">
        <v>36</v>
      </c>
      <c r="B782" s="9" t="n">
        <v>11</v>
      </c>
      <c r="C782" s="9" t="n">
        <v>25</v>
      </c>
      <c r="D782" s="9" t="n">
        <v>18</v>
      </c>
      <c r="E782" s="10">
        <f>COMBIN(A782,D782)/COMBIN(A782-B782,D782)</f>
        <v/>
      </c>
      <c r="F782" s="11">
        <f>ROUNDUP(E782*Controls!$B$4,4)</f>
        <v/>
      </c>
      <c r="G782" s="12">
        <f>F782/E782</f>
        <v/>
      </c>
      <c r="H782" s="10">
        <f>(A782-B782-(D782-1))/(A782-(D782-1))</f>
        <v/>
      </c>
      <c r="I782" s="9">
        <f>A782&amp;'x'&amp;B782</f>
        <v/>
      </c>
      <c r="J782" s="9">
        <f>IF(AND(G782&gt;0.9,G782&lt;1),"OK","CHECK")</f>
        <v/>
      </c>
    </row>
    <row r="783">
      <c r="A783" s="9" t="n">
        <v>36</v>
      </c>
      <c r="B783" s="9" t="n">
        <v>11</v>
      </c>
      <c r="C783" s="9" t="n">
        <v>25</v>
      </c>
      <c r="D783" s="9" t="n">
        <v>19</v>
      </c>
      <c r="E783" s="10">
        <f>COMBIN(A783,D783)/COMBIN(A783-B783,D783)</f>
        <v/>
      </c>
      <c r="F783" s="11">
        <f>ROUNDUP(E783*Controls!$B$4,4)</f>
        <v/>
      </c>
      <c r="G783" s="12">
        <f>F783/E783</f>
        <v/>
      </c>
      <c r="H783" s="10">
        <f>(A783-B783-(D783-1))/(A783-(D783-1))</f>
        <v/>
      </c>
      <c r="I783" s="9">
        <f>A783&amp;'x'&amp;B783</f>
        <v/>
      </c>
      <c r="J783" s="9">
        <f>IF(AND(G783&gt;0.9,G783&lt;1),"OK","CHECK")</f>
        <v/>
      </c>
    </row>
    <row r="784">
      <c r="A784" s="9" t="n">
        <v>36</v>
      </c>
      <c r="B784" s="9" t="n">
        <v>11</v>
      </c>
      <c r="C784" s="9" t="n">
        <v>25</v>
      </c>
      <c r="D784" s="9" t="n">
        <v>20</v>
      </c>
      <c r="E784" s="10">
        <f>COMBIN(A784,D784)/COMBIN(A784-B784,D784)</f>
        <v/>
      </c>
      <c r="F784" s="11">
        <f>ROUNDUP(E784*Controls!$B$4,4)</f>
        <v/>
      </c>
      <c r="G784" s="12">
        <f>F784/E784</f>
        <v/>
      </c>
      <c r="H784" s="10">
        <f>(A784-B784-(D784-1))/(A784-(D784-1))</f>
        <v/>
      </c>
      <c r="I784" s="9">
        <f>A784&amp;'x'&amp;B784</f>
        <v/>
      </c>
      <c r="J784" s="9">
        <f>IF(AND(G784&gt;0.9,G784&lt;1),"OK","CHECK")</f>
        <v/>
      </c>
    </row>
    <row r="785">
      <c r="A785" s="9" t="n">
        <v>36</v>
      </c>
      <c r="B785" s="9" t="n">
        <v>11</v>
      </c>
      <c r="C785" s="9" t="n">
        <v>25</v>
      </c>
      <c r="D785" s="9" t="n">
        <v>21</v>
      </c>
      <c r="E785" s="10">
        <f>COMBIN(A785,D785)/COMBIN(A785-B785,D785)</f>
        <v/>
      </c>
      <c r="F785" s="11">
        <f>ROUNDUP(E785*Controls!$B$4,4)</f>
        <v/>
      </c>
      <c r="G785" s="12">
        <f>F785/E785</f>
        <v/>
      </c>
      <c r="H785" s="10">
        <f>(A785-B785-(D785-1))/(A785-(D785-1))</f>
        <v/>
      </c>
      <c r="I785" s="9">
        <f>A785&amp;'x'&amp;B785</f>
        <v/>
      </c>
      <c r="J785" s="9">
        <f>IF(AND(G785&gt;0.9,G785&lt;1),"OK","CHECK")</f>
        <v/>
      </c>
    </row>
    <row r="786">
      <c r="A786" s="9" t="n">
        <v>36</v>
      </c>
      <c r="B786" s="9" t="n">
        <v>11</v>
      </c>
      <c r="C786" s="9" t="n">
        <v>25</v>
      </c>
      <c r="D786" s="9" t="n">
        <v>22</v>
      </c>
      <c r="E786" s="10">
        <f>COMBIN(A786,D786)/COMBIN(A786-B786,D786)</f>
        <v/>
      </c>
      <c r="F786" s="11">
        <f>ROUNDUP(E786*Controls!$B$4,4)</f>
        <v/>
      </c>
      <c r="G786" s="12">
        <f>F786/E786</f>
        <v/>
      </c>
      <c r="H786" s="10">
        <f>(A786-B786-(D786-1))/(A786-(D786-1))</f>
        <v/>
      </c>
      <c r="I786" s="9">
        <f>A786&amp;'x'&amp;B786</f>
        <v/>
      </c>
      <c r="J786" s="9">
        <f>IF(AND(G786&gt;0.9,G786&lt;1),"OK","CHECK")</f>
        <v/>
      </c>
    </row>
    <row r="787">
      <c r="A787" s="9" t="n">
        <v>36</v>
      </c>
      <c r="B787" s="9" t="n">
        <v>11</v>
      </c>
      <c r="C787" s="9" t="n">
        <v>25</v>
      </c>
      <c r="D787" s="9" t="n">
        <v>23</v>
      </c>
      <c r="E787" s="10">
        <f>COMBIN(A787,D787)/COMBIN(A787-B787,D787)</f>
        <v/>
      </c>
      <c r="F787" s="11">
        <f>ROUNDUP(E787*Controls!$B$4,4)</f>
        <v/>
      </c>
      <c r="G787" s="12">
        <f>F787/E787</f>
        <v/>
      </c>
      <c r="H787" s="10">
        <f>(A787-B787-(D787-1))/(A787-(D787-1))</f>
        <v/>
      </c>
      <c r="I787" s="9">
        <f>A787&amp;'x'&amp;B787</f>
        <v/>
      </c>
      <c r="J787" s="9">
        <f>IF(AND(G787&gt;0.9,G787&lt;1),"OK","CHECK")</f>
        <v/>
      </c>
    </row>
    <row r="788">
      <c r="A788" s="9" t="n">
        <v>36</v>
      </c>
      <c r="B788" s="9" t="n">
        <v>11</v>
      </c>
      <c r="C788" s="9" t="n">
        <v>25</v>
      </c>
      <c r="D788" s="9" t="n">
        <v>24</v>
      </c>
      <c r="E788" s="10">
        <f>COMBIN(A788,D788)/COMBIN(A788-B788,D788)</f>
        <v/>
      </c>
      <c r="F788" s="11">
        <f>ROUNDUP(E788*Controls!$B$4,4)</f>
        <v/>
      </c>
      <c r="G788" s="12">
        <f>F788/E788</f>
        <v/>
      </c>
      <c r="H788" s="10">
        <f>(A788-B788-(D788-1))/(A788-(D788-1))</f>
        <v/>
      </c>
      <c r="I788" s="9">
        <f>A788&amp;'x'&amp;B788</f>
        <v/>
      </c>
      <c r="J788" s="9">
        <f>IF(AND(G788&gt;0.9,G788&lt;1),"OK","CHECK")</f>
        <v/>
      </c>
    </row>
    <row r="789">
      <c r="A789" s="9" t="n">
        <v>36</v>
      </c>
      <c r="B789" s="9" t="n">
        <v>11</v>
      </c>
      <c r="C789" s="9" t="n">
        <v>25</v>
      </c>
      <c r="D789" s="9" t="n">
        <v>25</v>
      </c>
      <c r="E789" s="10">
        <f>COMBIN(A789,D789)/COMBIN(A789-B789,D789)</f>
        <v/>
      </c>
      <c r="F789" s="11">
        <f>ROUNDUP(E789*Controls!$B$4,4)</f>
        <v/>
      </c>
      <c r="G789" s="12">
        <f>F789/E789</f>
        <v/>
      </c>
      <c r="H789" s="10">
        <f>(A789-B789-(D789-1))/(A789-(D789-1))</f>
        <v/>
      </c>
      <c r="I789" s="9">
        <f>A789&amp;'x'&amp;B789</f>
        <v/>
      </c>
      <c r="J789" s="9">
        <f>IF(AND(G789&gt;0.9,G789&lt;1),"OK","CHECK")</f>
        <v/>
      </c>
    </row>
    <row r="790">
      <c r="A790" s="9" t="n">
        <v>36</v>
      </c>
      <c r="B790" s="9" t="n">
        <v>12</v>
      </c>
      <c r="C790" s="9" t="n">
        <v>24</v>
      </c>
      <c r="D790" s="9" t="n">
        <v>1</v>
      </c>
      <c r="E790" s="10">
        <f>COMBIN(A790,D790)/COMBIN(A790-B790,D790)</f>
        <v/>
      </c>
      <c r="F790" s="11">
        <f>ROUNDUP(E790*Controls!$B$4,4)</f>
        <v/>
      </c>
      <c r="G790" s="12">
        <f>F790/E790</f>
        <v/>
      </c>
      <c r="H790" s="10">
        <f>(A790-B790-(D790-1))/(A790-(D790-1))</f>
        <v/>
      </c>
      <c r="I790" s="9">
        <f>A790&amp;'x'&amp;B790</f>
        <v/>
      </c>
      <c r="J790" s="9">
        <f>IF(AND(G790&gt;0.9,G790&lt;1),"OK","CHECK")</f>
        <v/>
      </c>
    </row>
    <row r="791">
      <c r="A791" s="9" t="n">
        <v>36</v>
      </c>
      <c r="B791" s="9" t="n">
        <v>12</v>
      </c>
      <c r="C791" s="9" t="n">
        <v>24</v>
      </c>
      <c r="D791" s="9" t="n">
        <v>2</v>
      </c>
      <c r="E791" s="10">
        <f>COMBIN(A791,D791)/COMBIN(A791-B791,D791)</f>
        <v/>
      </c>
      <c r="F791" s="11">
        <f>ROUNDUP(E791*Controls!$B$4,4)</f>
        <v/>
      </c>
      <c r="G791" s="12">
        <f>F791/E791</f>
        <v/>
      </c>
      <c r="H791" s="10">
        <f>(A791-B791-(D791-1))/(A791-(D791-1))</f>
        <v/>
      </c>
      <c r="I791" s="9">
        <f>A791&amp;'x'&amp;B791</f>
        <v/>
      </c>
      <c r="J791" s="9">
        <f>IF(AND(G791&gt;0.9,G791&lt;1),"OK","CHECK")</f>
        <v/>
      </c>
    </row>
    <row r="792">
      <c r="A792" s="9" t="n">
        <v>36</v>
      </c>
      <c r="B792" s="9" t="n">
        <v>12</v>
      </c>
      <c r="C792" s="9" t="n">
        <v>24</v>
      </c>
      <c r="D792" s="9" t="n">
        <v>3</v>
      </c>
      <c r="E792" s="10">
        <f>COMBIN(A792,D792)/COMBIN(A792-B792,D792)</f>
        <v/>
      </c>
      <c r="F792" s="11">
        <f>ROUNDUP(E792*Controls!$B$4,4)</f>
        <v/>
      </c>
      <c r="G792" s="12">
        <f>F792/E792</f>
        <v/>
      </c>
      <c r="H792" s="10">
        <f>(A792-B792-(D792-1))/(A792-(D792-1))</f>
        <v/>
      </c>
      <c r="I792" s="9">
        <f>A792&amp;'x'&amp;B792</f>
        <v/>
      </c>
      <c r="J792" s="9">
        <f>IF(AND(G792&gt;0.9,G792&lt;1),"OK","CHECK")</f>
        <v/>
      </c>
    </row>
    <row r="793">
      <c r="A793" s="9" t="n">
        <v>36</v>
      </c>
      <c r="B793" s="9" t="n">
        <v>12</v>
      </c>
      <c r="C793" s="9" t="n">
        <v>24</v>
      </c>
      <c r="D793" s="9" t="n">
        <v>4</v>
      </c>
      <c r="E793" s="10">
        <f>COMBIN(A793,D793)/COMBIN(A793-B793,D793)</f>
        <v/>
      </c>
      <c r="F793" s="11">
        <f>ROUNDUP(E793*Controls!$B$4,4)</f>
        <v/>
      </c>
      <c r="G793" s="12">
        <f>F793/E793</f>
        <v/>
      </c>
      <c r="H793" s="10">
        <f>(A793-B793-(D793-1))/(A793-(D793-1))</f>
        <v/>
      </c>
      <c r="I793" s="9">
        <f>A793&amp;'x'&amp;B793</f>
        <v/>
      </c>
      <c r="J793" s="9">
        <f>IF(AND(G793&gt;0.9,G793&lt;1),"OK","CHECK")</f>
        <v/>
      </c>
    </row>
    <row r="794">
      <c r="A794" s="9" t="n">
        <v>36</v>
      </c>
      <c r="B794" s="9" t="n">
        <v>12</v>
      </c>
      <c r="C794" s="9" t="n">
        <v>24</v>
      </c>
      <c r="D794" s="9" t="n">
        <v>5</v>
      </c>
      <c r="E794" s="10">
        <f>COMBIN(A794,D794)/COMBIN(A794-B794,D794)</f>
        <v/>
      </c>
      <c r="F794" s="11">
        <f>ROUNDUP(E794*Controls!$B$4,4)</f>
        <v/>
      </c>
      <c r="G794" s="12">
        <f>F794/E794</f>
        <v/>
      </c>
      <c r="H794" s="10">
        <f>(A794-B794-(D794-1))/(A794-(D794-1))</f>
        <v/>
      </c>
      <c r="I794" s="9">
        <f>A794&amp;'x'&amp;B794</f>
        <v/>
      </c>
      <c r="J794" s="9">
        <f>IF(AND(G794&gt;0.9,G794&lt;1),"OK","CHECK")</f>
        <v/>
      </c>
    </row>
    <row r="795">
      <c r="A795" s="9" t="n">
        <v>36</v>
      </c>
      <c r="B795" s="9" t="n">
        <v>12</v>
      </c>
      <c r="C795" s="9" t="n">
        <v>24</v>
      </c>
      <c r="D795" s="9" t="n">
        <v>6</v>
      </c>
      <c r="E795" s="10">
        <f>COMBIN(A795,D795)/COMBIN(A795-B795,D795)</f>
        <v/>
      </c>
      <c r="F795" s="11">
        <f>ROUNDUP(E795*Controls!$B$4,4)</f>
        <v/>
      </c>
      <c r="G795" s="12">
        <f>F795/E795</f>
        <v/>
      </c>
      <c r="H795" s="10">
        <f>(A795-B795-(D795-1))/(A795-(D795-1))</f>
        <v/>
      </c>
      <c r="I795" s="9">
        <f>A795&amp;'x'&amp;B795</f>
        <v/>
      </c>
      <c r="J795" s="9">
        <f>IF(AND(G795&gt;0.9,G795&lt;1),"OK","CHECK")</f>
        <v/>
      </c>
    </row>
    <row r="796">
      <c r="A796" s="9" t="n">
        <v>36</v>
      </c>
      <c r="B796" s="9" t="n">
        <v>12</v>
      </c>
      <c r="C796" s="9" t="n">
        <v>24</v>
      </c>
      <c r="D796" s="9" t="n">
        <v>7</v>
      </c>
      <c r="E796" s="10">
        <f>COMBIN(A796,D796)/COMBIN(A796-B796,D796)</f>
        <v/>
      </c>
      <c r="F796" s="11">
        <f>ROUNDUP(E796*Controls!$B$4,4)</f>
        <v/>
      </c>
      <c r="G796" s="12">
        <f>F796/E796</f>
        <v/>
      </c>
      <c r="H796" s="10">
        <f>(A796-B796-(D796-1))/(A796-(D796-1))</f>
        <v/>
      </c>
      <c r="I796" s="9">
        <f>A796&amp;'x'&amp;B796</f>
        <v/>
      </c>
      <c r="J796" s="9">
        <f>IF(AND(G796&gt;0.9,G796&lt;1),"OK","CHECK")</f>
        <v/>
      </c>
    </row>
    <row r="797">
      <c r="A797" s="9" t="n">
        <v>36</v>
      </c>
      <c r="B797" s="9" t="n">
        <v>12</v>
      </c>
      <c r="C797" s="9" t="n">
        <v>24</v>
      </c>
      <c r="D797" s="9" t="n">
        <v>8</v>
      </c>
      <c r="E797" s="10">
        <f>COMBIN(A797,D797)/COMBIN(A797-B797,D797)</f>
        <v/>
      </c>
      <c r="F797" s="11">
        <f>ROUNDUP(E797*Controls!$B$4,4)</f>
        <v/>
      </c>
      <c r="G797" s="12">
        <f>F797/E797</f>
        <v/>
      </c>
      <c r="H797" s="10">
        <f>(A797-B797-(D797-1))/(A797-(D797-1))</f>
        <v/>
      </c>
      <c r="I797" s="9">
        <f>A797&amp;'x'&amp;B797</f>
        <v/>
      </c>
      <c r="J797" s="9">
        <f>IF(AND(G797&gt;0.9,G797&lt;1),"OK","CHECK")</f>
        <v/>
      </c>
    </row>
    <row r="798">
      <c r="A798" s="9" t="n">
        <v>36</v>
      </c>
      <c r="B798" s="9" t="n">
        <v>12</v>
      </c>
      <c r="C798" s="9" t="n">
        <v>24</v>
      </c>
      <c r="D798" s="9" t="n">
        <v>9</v>
      </c>
      <c r="E798" s="10">
        <f>COMBIN(A798,D798)/COMBIN(A798-B798,D798)</f>
        <v/>
      </c>
      <c r="F798" s="11">
        <f>ROUNDUP(E798*Controls!$B$4,4)</f>
        <v/>
      </c>
      <c r="G798" s="12">
        <f>F798/E798</f>
        <v/>
      </c>
      <c r="H798" s="10">
        <f>(A798-B798-(D798-1))/(A798-(D798-1))</f>
        <v/>
      </c>
      <c r="I798" s="9">
        <f>A798&amp;'x'&amp;B798</f>
        <v/>
      </c>
      <c r="J798" s="9">
        <f>IF(AND(G798&gt;0.9,G798&lt;1),"OK","CHECK")</f>
        <v/>
      </c>
    </row>
    <row r="799">
      <c r="A799" s="9" t="n">
        <v>36</v>
      </c>
      <c r="B799" s="9" t="n">
        <v>12</v>
      </c>
      <c r="C799" s="9" t="n">
        <v>24</v>
      </c>
      <c r="D799" s="9" t="n">
        <v>10</v>
      </c>
      <c r="E799" s="10">
        <f>COMBIN(A799,D799)/COMBIN(A799-B799,D799)</f>
        <v/>
      </c>
      <c r="F799" s="11">
        <f>ROUNDUP(E799*Controls!$B$4,4)</f>
        <v/>
      </c>
      <c r="G799" s="12">
        <f>F799/E799</f>
        <v/>
      </c>
      <c r="H799" s="10">
        <f>(A799-B799-(D799-1))/(A799-(D799-1))</f>
        <v/>
      </c>
      <c r="I799" s="9">
        <f>A799&amp;'x'&amp;B799</f>
        <v/>
      </c>
      <c r="J799" s="9">
        <f>IF(AND(G799&gt;0.9,G799&lt;1),"OK","CHECK")</f>
        <v/>
      </c>
    </row>
    <row r="800">
      <c r="A800" s="9" t="n">
        <v>36</v>
      </c>
      <c r="B800" s="9" t="n">
        <v>12</v>
      </c>
      <c r="C800" s="9" t="n">
        <v>24</v>
      </c>
      <c r="D800" s="9" t="n">
        <v>11</v>
      </c>
      <c r="E800" s="10">
        <f>COMBIN(A800,D800)/COMBIN(A800-B800,D800)</f>
        <v/>
      </c>
      <c r="F800" s="11">
        <f>ROUNDUP(E800*Controls!$B$4,4)</f>
        <v/>
      </c>
      <c r="G800" s="12">
        <f>F800/E800</f>
        <v/>
      </c>
      <c r="H800" s="10">
        <f>(A800-B800-(D800-1))/(A800-(D800-1))</f>
        <v/>
      </c>
      <c r="I800" s="9">
        <f>A800&amp;'x'&amp;B800</f>
        <v/>
      </c>
      <c r="J800" s="9">
        <f>IF(AND(G800&gt;0.9,G800&lt;1),"OK","CHECK")</f>
        <v/>
      </c>
    </row>
    <row r="801">
      <c r="A801" s="9" t="n">
        <v>36</v>
      </c>
      <c r="B801" s="9" t="n">
        <v>12</v>
      </c>
      <c r="C801" s="9" t="n">
        <v>24</v>
      </c>
      <c r="D801" s="9" t="n">
        <v>12</v>
      </c>
      <c r="E801" s="10">
        <f>COMBIN(A801,D801)/COMBIN(A801-B801,D801)</f>
        <v/>
      </c>
      <c r="F801" s="11">
        <f>ROUNDUP(E801*Controls!$B$4,4)</f>
        <v/>
      </c>
      <c r="G801" s="12">
        <f>F801/E801</f>
        <v/>
      </c>
      <c r="H801" s="10">
        <f>(A801-B801-(D801-1))/(A801-(D801-1))</f>
        <v/>
      </c>
      <c r="I801" s="9">
        <f>A801&amp;'x'&amp;B801</f>
        <v/>
      </c>
      <c r="J801" s="9">
        <f>IF(AND(G801&gt;0.9,G801&lt;1),"OK","CHECK")</f>
        <v/>
      </c>
    </row>
    <row r="802">
      <c r="A802" s="9" t="n">
        <v>36</v>
      </c>
      <c r="B802" s="9" t="n">
        <v>12</v>
      </c>
      <c r="C802" s="9" t="n">
        <v>24</v>
      </c>
      <c r="D802" s="9" t="n">
        <v>13</v>
      </c>
      <c r="E802" s="10">
        <f>COMBIN(A802,D802)/COMBIN(A802-B802,D802)</f>
        <v/>
      </c>
      <c r="F802" s="11">
        <f>ROUNDUP(E802*Controls!$B$4,4)</f>
        <v/>
      </c>
      <c r="G802" s="12">
        <f>F802/E802</f>
        <v/>
      </c>
      <c r="H802" s="10">
        <f>(A802-B802-(D802-1))/(A802-(D802-1))</f>
        <v/>
      </c>
      <c r="I802" s="9">
        <f>A802&amp;'x'&amp;B802</f>
        <v/>
      </c>
      <c r="J802" s="9">
        <f>IF(AND(G802&gt;0.9,G802&lt;1),"OK","CHECK")</f>
        <v/>
      </c>
    </row>
    <row r="803">
      <c r="A803" s="9" t="n">
        <v>36</v>
      </c>
      <c r="B803" s="9" t="n">
        <v>12</v>
      </c>
      <c r="C803" s="9" t="n">
        <v>24</v>
      </c>
      <c r="D803" s="9" t="n">
        <v>14</v>
      </c>
      <c r="E803" s="10">
        <f>COMBIN(A803,D803)/COMBIN(A803-B803,D803)</f>
        <v/>
      </c>
      <c r="F803" s="11">
        <f>ROUNDUP(E803*Controls!$B$4,4)</f>
        <v/>
      </c>
      <c r="G803" s="12">
        <f>F803/E803</f>
        <v/>
      </c>
      <c r="H803" s="10">
        <f>(A803-B803-(D803-1))/(A803-(D803-1))</f>
        <v/>
      </c>
      <c r="I803" s="9">
        <f>A803&amp;'x'&amp;B803</f>
        <v/>
      </c>
      <c r="J803" s="9">
        <f>IF(AND(G803&gt;0.9,G803&lt;1),"OK","CHECK")</f>
        <v/>
      </c>
    </row>
    <row r="804">
      <c r="A804" s="9" t="n">
        <v>36</v>
      </c>
      <c r="B804" s="9" t="n">
        <v>12</v>
      </c>
      <c r="C804" s="9" t="n">
        <v>24</v>
      </c>
      <c r="D804" s="9" t="n">
        <v>15</v>
      </c>
      <c r="E804" s="10">
        <f>COMBIN(A804,D804)/COMBIN(A804-B804,D804)</f>
        <v/>
      </c>
      <c r="F804" s="11">
        <f>ROUNDUP(E804*Controls!$B$4,4)</f>
        <v/>
      </c>
      <c r="G804" s="12">
        <f>F804/E804</f>
        <v/>
      </c>
      <c r="H804" s="10">
        <f>(A804-B804-(D804-1))/(A804-(D804-1))</f>
        <v/>
      </c>
      <c r="I804" s="9">
        <f>A804&amp;'x'&amp;B804</f>
        <v/>
      </c>
      <c r="J804" s="9">
        <f>IF(AND(G804&gt;0.9,G804&lt;1),"OK","CHECK")</f>
        <v/>
      </c>
    </row>
    <row r="805">
      <c r="A805" s="9" t="n">
        <v>36</v>
      </c>
      <c r="B805" s="9" t="n">
        <v>12</v>
      </c>
      <c r="C805" s="9" t="n">
        <v>24</v>
      </c>
      <c r="D805" s="9" t="n">
        <v>16</v>
      </c>
      <c r="E805" s="10">
        <f>COMBIN(A805,D805)/COMBIN(A805-B805,D805)</f>
        <v/>
      </c>
      <c r="F805" s="11">
        <f>ROUNDUP(E805*Controls!$B$4,4)</f>
        <v/>
      </c>
      <c r="G805" s="12">
        <f>F805/E805</f>
        <v/>
      </c>
      <c r="H805" s="10">
        <f>(A805-B805-(D805-1))/(A805-(D805-1))</f>
        <v/>
      </c>
      <c r="I805" s="9">
        <f>A805&amp;'x'&amp;B805</f>
        <v/>
      </c>
      <c r="J805" s="9">
        <f>IF(AND(G805&gt;0.9,G805&lt;1),"OK","CHECK")</f>
        <v/>
      </c>
    </row>
    <row r="806">
      <c r="A806" s="9" t="n">
        <v>36</v>
      </c>
      <c r="B806" s="9" t="n">
        <v>12</v>
      </c>
      <c r="C806" s="9" t="n">
        <v>24</v>
      </c>
      <c r="D806" s="9" t="n">
        <v>17</v>
      </c>
      <c r="E806" s="10">
        <f>COMBIN(A806,D806)/COMBIN(A806-B806,D806)</f>
        <v/>
      </c>
      <c r="F806" s="11">
        <f>ROUNDUP(E806*Controls!$B$4,4)</f>
        <v/>
      </c>
      <c r="G806" s="12">
        <f>F806/E806</f>
        <v/>
      </c>
      <c r="H806" s="10">
        <f>(A806-B806-(D806-1))/(A806-(D806-1))</f>
        <v/>
      </c>
      <c r="I806" s="9">
        <f>A806&amp;'x'&amp;B806</f>
        <v/>
      </c>
      <c r="J806" s="9">
        <f>IF(AND(G806&gt;0.9,G806&lt;1),"OK","CHECK")</f>
        <v/>
      </c>
    </row>
    <row r="807">
      <c r="A807" s="9" t="n">
        <v>36</v>
      </c>
      <c r="B807" s="9" t="n">
        <v>12</v>
      </c>
      <c r="C807" s="9" t="n">
        <v>24</v>
      </c>
      <c r="D807" s="9" t="n">
        <v>18</v>
      </c>
      <c r="E807" s="10">
        <f>COMBIN(A807,D807)/COMBIN(A807-B807,D807)</f>
        <v/>
      </c>
      <c r="F807" s="11">
        <f>ROUNDUP(E807*Controls!$B$4,4)</f>
        <v/>
      </c>
      <c r="G807" s="12">
        <f>F807/E807</f>
        <v/>
      </c>
      <c r="H807" s="10">
        <f>(A807-B807-(D807-1))/(A807-(D807-1))</f>
        <v/>
      </c>
      <c r="I807" s="9">
        <f>A807&amp;'x'&amp;B807</f>
        <v/>
      </c>
      <c r="J807" s="9">
        <f>IF(AND(G807&gt;0.9,G807&lt;1),"OK","CHECK")</f>
        <v/>
      </c>
    </row>
    <row r="808">
      <c r="A808" s="9" t="n">
        <v>36</v>
      </c>
      <c r="B808" s="9" t="n">
        <v>12</v>
      </c>
      <c r="C808" s="9" t="n">
        <v>24</v>
      </c>
      <c r="D808" s="9" t="n">
        <v>19</v>
      </c>
      <c r="E808" s="10">
        <f>COMBIN(A808,D808)/COMBIN(A808-B808,D808)</f>
        <v/>
      </c>
      <c r="F808" s="11">
        <f>ROUNDUP(E808*Controls!$B$4,4)</f>
        <v/>
      </c>
      <c r="G808" s="12">
        <f>F808/E808</f>
        <v/>
      </c>
      <c r="H808" s="10">
        <f>(A808-B808-(D808-1))/(A808-(D808-1))</f>
        <v/>
      </c>
      <c r="I808" s="9">
        <f>A808&amp;'x'&amp;B808</f>
        <v/>
      </c>
      <c r="J808" s="9">
        <f>IF(AND(G808&gt;0.9,G808&lt;1),"OK","CHECK")</f>
        <v/>
      </c>
    </row>
    <row r="809">
      <c r="A809" s="9" t="n">
        <v>36</v>
      </c>
      <c r="B809" s="9" t="n">
        <v>12</v>
      </c>
      <c r="C809" s="9" t="n">
        <v>24</v>
      </c>
      <c r="D809" s="9" t="n">
        <v>20</v>
      </c>
      <c r="E809" s="10">
        <f>COMBIN(A809,D809)/COMBIN(A809-B809,D809)</f>
        <v/>
      </c>
      <c r="F809" s="11">
        <f>ROUNDUP(E809*Controls!$B$4,4)</f>
        <v/>
      </c>
      <c r="G809" s="12">
        <f>F809/E809</f>
        <v/>
      </c>
      <c r="H809" s="10">
        <f>(A809-B809-(D809-1))/(A809-(D809-1))</f>
        <v/>
      </c>
      <c r="I809" s="9">
        <f>A809&amp;'x'&amp;B809</f>
        <v/>
      </c>
      <c r="J809" s="9">
        <f>IF(AND(G809&gt;0.9,G809&lt;1),"OK","CHECK")</f>
        <v/>
      </c>
    </row>
    <row r="810">
      <c r="A810" s="9" t="n">
        <v>36</v>
      </c>
      <c r="B810" s="9" t="n">
        <v>12</v>
      </c>
      <c r="C810" s="9" t="n">
        <v>24</v>
      </c>
      <c r="D810" s="9" t="n">
        <v>21</v>
      </c>
      <c r="E810" s="10">
        <f>COMBIN(A810,D810)/COMBIN(A810-B810,D810)</f>
        <v/>
      </c>
      <c r="F810" s="11">
        <f>ROUNDUP(E810*Controls!$B$4,4)</f>
        <v/>
      </c>
      <c r="G810" s="12">
        <f>F810/E810</f>
        <v/>
      </c>
      <c r="H810" s="10">
        <f>(A810-B810-(D810-1))/(A810-(D810-1))</f>
        <v/>
      </c>
      <c r="I810" s="9">
        <f>A810&amp;'x'&amp;B810</f>
        <v/>
      </c>
      <c r="J810" s="9">
        <f>IF(AND(G810&gt;0.9,G810&lt;1),"OK","CHECK")</f>
        <v/>
      </c>
    </row>
    <row r="811">
      <c r="A811" s="9" t="n">
        <v>36</v>
      </c>
      <c r="B811" s="9" t="n">
        <v>12</v>
      </c>
      <c r="C811" s="9" t="n">
        <v>24</v>
      </c>
      <c r="D811" s="9" t="n">
        <v>22</v>
      </c>
      <c r="E811" s="10">
        <f>COMBIN(A811,D811)/COMBIN(A811-B811,D811)</f>
        <v/>
      </c>
      <c r="F811" s="11">
        <f>ROUNDUP(E811*Controls!$B$4,4)</f>
        <v/>
      </c>
      <c r="G811" s="12">
        <f>F811/E811</f>
        <v/>
      </c>
      <c r="H811" s="10">
        <f>(A811-B811-(D811-1))/(A811-(D811-1))</f>
        <v/>
      </c>
      <c r="I811" s="9">
        <f>A811&amp;'x'&amp;B811</f>
        <v/>
      </c>
      <c r="J811" s="9">
        <f>IF(AND(G811&gt;0.9,G811&lt;1),"OK","CHECK")</f>
        <v/>
      </c>
    </row>
    <row r="812">
      <c r="A812" s="9" t="n">
        <v>36</v>
      </c>
      <c r="B812" s="9" t="n">
        <v>12</v>
      </c>
      <c r="C812" s="9" t="n">
        <v>24</v>
      </c>
      <c r="D812" s="9" t="n">
        <v>23</v>
      </c>
      <c r="E812" s="10">
        <f>COMBIN(A812,D812)/COMBIN(A812-B812,D812)</f>
        <v/>
      </c>
      <c r="F812" s="11">
        <f>ROUNDUP(E812*Controls!$B$4,4)</f>
        <v/>
      </c>
      <c r="G812" s="12">
        <f>F812/E812</f>
        <v/>
      </c>
      <c r="H812" s="10">
        <f>(A812-B812-(D812-1))/(A812-(D812-1))</f>
        <v/>
      </c>
      <c r="I812" s="9">
        <f>A812&amp;'x'&amp;B812</f>
        <v/>
      </c>
      <c r="J812" s="9">
        <f>IF(AND(G812&gt;0.9,G812&lt;1),"OK","CHECK")</f>
        <v/>
      </c>
    </row>
    <row r="813">
      <c r="A813" s="9" t="n">
        <v>36</v>
      </c>
      <c r="B813" s="9" t="n">
        <v>12</v>
      </c>
      <c r="C813" s="9" t="n">
        <v>24</v>
      </c>
      <c r="D813" s="9" t="n">
        <v>24</v>
      </c>
      <c r="E813" s="10">
        <f>COMBIN(A813,D813)/COMBIN(A813-B813,D813)</f>
        <v/>
      </c>
      <c r="F813" s="11">
        <f>ROUNDUP(E813*Controls!$B$4,4)</f>
        <v/>
      </c>
      <c r="G813" s="12">
        <f>F813/E813</f>
        <v/>
      </c>
      <c r="H813" s="10">
        <f>(A813-B813-(D813-1))/(A813-(D813-1))</f>
        <v/>
      </c>
      <c r="I813" s="9">
        <f>A813&amp;'x'&amp;B813</f>
        <v/>
      </c>
      <c r="J813" s="9">
        <f>IF(AND(G813&gt;0.9,G813&lt;1),"OK","CHECK")</f>
        <v/>
      </c>
    </row>
    <row r="814">
      <c r="A814" s="9" t="n">
        <v>36</v>
      </c>
      <c r="B814" s="9" t="n">
        <v>13</v>
      </c>
      <c r="C814" s="9" t="n">
        <v>23</v>
      </c>
      <c r="D814" s="9" t="n">
        <v>1</v>
      </c>
      <c r="E814" s="10">
        <f>COMBIN(A814,D814)/COMBIN(A814-B814,D814)</f>
        <v/>
      </c>
      <c r="F814" s="11">
        <f>ROUNDUP(E814*Controls!$B$4,4)</f>
        <v/>
      </c>
      <c r="G814" s="12">
        <f>F814/E814</f>
        <v/>
      </c>
      <c r="H814" s="10">
        <f>(A814-B814-(D814-1))/(A814-(D814-1))</f>
        <v/>
      </c>
      <c r="I814" s="9">
        <f>A814&amp;'x'&amp;B814</f>
        <v/>
      </c>
      <c r="J814" s="9">
        <f>IF(AND(G814&gt;0.9,G814&lt;1),"OK","CHECK")</f>
        <v/>
      </c>
    </row>
    <row r="815">
      <c r="A815" s="9" t="n">
        <v>36</v>
      </c>
      <c r="B815" s="9" t="n">
        <v>13</v>
      </c>
      <c r="C815" s="9" t="n">
        <v>23</v>
      </c>
      <c r="D815" s="9" t="n">
        <v>2</v>
      </c>
      <c r="E815" s="10">
        <f>COMBIN(A815,D815)/COMBIN(A815-B815,D815)</f>
        <v/>
      </c>
      <c r="F815" s="11">
        <f>ROUNDUP(E815*Controls!$B$4,4)</f>
        <v/>
      </c>
      <c r="G815" s="12">
        <f>F815/E815</f>
        <v/>
      </c>
      <c r="H815" s="10">
        <f>(A815-B815-(D815-1))/(A815-(D815-1))</f>
        <v/>
      </c>
      <c r="I815" s="9">
        <f>A815&amp;'x'&amp;B815</f>
        <v/>
      </c>
      <c r="J815" s="9">
        <f>IF(AND(G815&gt;0.9,G815&lt;1),"OK","CHECK")</f>
        <v/>
      </c>
    </row>
    <row r="816">
      <c r="A816" s="9" t="n">
        <v>36</v>
      </c>
      <c r="B816" s="9" t="n">
        <v>13</v>
      </c>
      <c r="C816" s="9" t="n">
        <v>23</v>
      </c>
      <c r="D816" s="9" t="n">
        <v>3</v>
      </c>
      <c r="E816" s="10">
        <f>COMBIN(A816,D816)/COMBIN(A816-B816,D816)</f>
        <v/>
      </c>
      <c r="F816" s="11">
        <f>ROUNDUP(E816*Controls!$B$4,4)</f>
        <v/>
      </c>
      <c r="G816" s="12">
        <f>F816/E816</f>
        <v/>
      </c>
      <c r="H816" s="10">
        <f>(A816-B816-(D816-1))/(A816-(D816-1))</f>
        <v/>
      </c>
      <c r="I816" s="9">
        <f>A816&amp;'x'&amp;B816</f>
        <v/>
      </c>
      <c r="J816" s="9">
        <f>IF(AND(G816&gt;0.9,G816&lt;1),"OK","CHECK")</f>
        <v/>
      </c>
    </row>
    <row r="817">
      <c r="A817" s="9" t="n">
        <v>36</v>
      </c>
      <c r="B817" s="9" t="n">
        <v>13</v>
      </c>
      <c r="C817" s="9" t="n">
        <v>23</v>
      </c>
      <c r="D817" s="9" t="n">
        <v>4</v>
      </c>
      <c r="E817" s="10">
        <f>COMBIN(A817,D817)/COMBIN(A817-B817,D817)</f>
        <v/>
      </c>
      <c r="F817" s="11">
        <f>ROUNDUP(E817*Controls!$B$4,4)</f>
        <v/>
      </c>
      <c r="G817" s="12">
        <f>F817/E817</f>
        <v/>
      </c>
      <c r="H817" s="10">
        <f>(A817-B817-(D817-1))/(A817-(D817-1))</f>
        <v/>
      </c>
      <c r="I817" s="9">
        <f>A817&amp;'x'&amp;B817</f>
        <v/>
      </c>
      <c r="J817" s="9">
        <f>IF(AND(G817&gt;0.9,G817&lt;1),"OK","CHECK")</f>
        <v/>
      </c>
    </row>
    <row r="818">
      <c r="A818" s="9" t="n">
        <v>36</v>
      </c>
      <c r="B818" s="9" t="n">
        <v>13</v>
      </c>
      <c r="C818" s="9" t="n">
        <v>23</v>
      </c>
      <c r="D818" s="9" t="n">
        <v>5</v>
      </c>
      <c r="E818" s="10">
        <f>COMBIN(A818,D818)/COMBIN(A818-B818,D818)</f>
        <v/>
      </c>
      <c r="F818" s="11">
        <f>ROUNDUP(E818*Controls!$B$4,4)</f>
        <v/>
      </c>
      <c r="G818" s="12">
        <f>F818/E818</f>
        <v/>
      </c>
      <c r="H818" s="10">
        <f>(A818-B818-(D818-1))/(A818-(D818-1))</f>
        <v/>
      </c>
      <c r="I818" s="9">
        <f>A818&amp;'x'&amp;B818</f>
        <v/>
      </c>
      <c r="J818" s="9">
        <f>IF(AND(G818&gt;0.9,G818&lt;1),"OK","CHECK")</f>
        <v/>
      </c>
    </row>
    <row r="819">
      <c r="A819" s="9" t="n">
        <v>36</v>
      </c>
      <c r="B819" s="9" t="n">
        <v>13</v>
      </c>
      <c r="C819" s="9" t="n">
        <v>23</v>
      </c>
      <c r="D819" s="9" t="n">
        <v>6</v>
      </c>
      <c r="E819" s="10">
        <f>COMBIN(A819,D819)/COMBIN(A819-B819,D819)</f>
        <v/>
      </c>
      <c r="F819" s="11">
        <f>ROUNDUP(E819*Controls!$B$4,4)</f>
        <v/>
      </c>
      <c r="G819" s="12">
        <f>F819/E819</f>
        <v/>
      </c>
      <c r="H819" s="10">
        <f>(A819-B819-(D819-1))/(A819-(D819-1))</f>
        <v/>
      </c>
      <c r="I819" s="9">
        <f>A819&amp;'x'&amp;B819</f>
        <v/>
      </c>
      <c r="J819" s="9">
        <f>IF(AND(G819&gt;0.9,G819&lt;1),"OK","CHECK")</f>
        <v/>
      </c>
    </row>
    <row r="820">
      <c r="A820" s="9" t="n">
        <v>36</v>
      </c>
      <c r="B820" s="9" t="n">
        <v>13</v>
      </c>
      <c r="C820" s="9" t="n">
        <v>23</v>
      </c>
      <c r="D820" s="9" t="n">
        <v>7</v>
      </c>
      <c r="E820" s="10">
        <f>COMBIN(A820,D820)/COMBIN(A820-B820,D820)</f>
        <v/>
      </c>
      <c r="F820" s="11">
        <f>ROUNDUP(E820*Controls!$B$4,4)</f>
        <v/>
      </c>
      <c r="G820" s="12">
        <f>F820/E820</f>
        <v/>
      </c>
      <c r="H820" s="10">
        <f>(A820-B820-(D820-1))/(A820-(D820-1))</f>
        <v/>
      </c>
      <c r="I820" s="9">
        <f>A820&amp;'x'&amp;B820</f>
        <v/>
      </c>
      <c r="J820" s="9">
        <f>IF(AND(G820&gt;0.9,G820&lt;1),"OK","CHECK")</f>
        <v/>
      </c>
    </row>
    <row r="821">
      <c r="A821" s="9" t="n">
        <v>36</v>
      </c>
      <c r="B821" s="9" t="n">
        <v>13</v>
      </c>
      <c r="C821" s="9" t="n">
        <v>23</v>
      </c>
      <c r="D821" s="9" t="n">
        <v>8</v>
      </c>
      <c r="E821" s="10">
        <f>COMBIN(A821,D821)/COMBIN(A821-B821,D821)</f>
        <v/>
      </c>
      <c r="F821" s="11">
        <f>ROUNDUP(E821*Controls!$B$4,4)</f>
        <v/>
      </c>
      <c r="G821" s="12">
        <f>F821/E821</f>
        <v/>
      </c>
      <c r="H821" s="10">
        <f>(A821-B821-(D821-1))/(A821-(D821-1))</f>
        <v/>
      </c>
      <c r="I821" s="9">
        <f>A821&amp;'x'&amp;B821</f>
        <v/>
      </c>
      <c r="J821" s="9">
        <f>IF(AND(G821&gt;0.9,G821&lt;1),"OK","CHECK")</f>
        <v/>
      </c>
    </row>
    <row r="822">
      <c r="A822" s="9" t="n">
        <v>36</v>
      </c>
      <c r="B822" s="9" t="n">
        <v>13</v>
      </c>
      <c r="C822" s="9" t="n">
        <v>23</v>
      </c>
      <c r="D822" s="9" t="n">
        <v>9</v>
      </c>
      <c r="E822" s="10">
        <f>COMBIN(A822,D822)/COMBIN(A822-B822,D822)</f>
        <v/>
      </c>
      <c r="F822" s="11">
        <f>ROUNDUP(E822*Controls!$B$4,4)</f>
        <v/>
      </c>
      <c r="G822" s="12">
        <f>F822/E822</f>
        <v/>
      </c>
      <c r="H822" s="10">
        <f>(A822-B822-(D822-1))/(A822-(D822-1))</f>
        <v/>
      </c>
      <c r="I822" s="9">
        <f>A822&amp;'x'&amp;B822</f>
        <v/>
      </c>
      <c r="J822" s="9">
        <f>IF(AND(G822&gt;0.9,G822&lt;1),"OK","CHECK")</f>
        <v/>
      </c>
    </row>
    <row r="823">
      <c r="A823" s="9" t="n">
        <v>36</v>
      </c>
      <c r="B823" s="9" t="n">
        <v>13</v>
      </c>
      <c r="C823" s="9" t="n">
        <v>23</v>
      </c>
      <c r="D823" s="9" t="n">
        <v>10</v>
      </c>
      <c r="E823" s="10">
        <f>COMBIN(A823,D823)/COMBIN(A823-B823,D823)</f>
        <v/>
      </c>
      <c r="F823" s="11">
        <f>ROUNDUP(E823*Controls!$B$4,4)</f>
        <v/>
      </c>
      <c r="G823" s="12">
        <f>F823/E823</f>
        <v/>
      </c>
      <c r="H823" s="10">
        <f>(A823-B823-(D823-1))/(A823-(D823-1))</f>
        <v/>
      </c>
      <c r="I823" s="9">
        <f>A823&amp;'x'&amp;B823</f>
        <v/>
      </c>
      <c r="J823" s="9">
        <f>IF(AND(G823&gt;0.9,G823&lt;1),"OK","CHECK")</f>
        <v/>
      </c>
    </row>
    <row r="824">
      <c r="A824" s="9" t="n">
        <v>36</v>
      </c>
      <c r="B824" s="9" t="n">
        <v>13</v>
      </c>
      <c r="C824" s="9" t="n">
        <v>23</v>
      </c>
      <c r="D824" s="9" t="n">
        <v>11</v>
      </c>
      <c r="E824" s="10">
        <f>COMBIN(A824,D824)/COMBIN(A824-B824,D824)</f>
        <v/>
      </c>
      <c r="F824" s="11">
        <f>ROUNDUP(E824*Controls!$B$4,4)</f>
        <v/>
      </c>
      <c r="G824" s="12">
        <f>F824/E824</f>
        <v/>
      </c>
      <c r="H824" s="10">
        <f>(A824-B824-(D824-1))/(A824-(D824-1))</f>
        <v/>
      </c>
      <c r="I824" s="9">
        <f>A824&amp;'x'&amp;B824</f>
        <v/>
      </c>
      <c r="J824" s="9">
        <f>IF(AND(G824&gt;0.9,G824&lt;1),"OK","CHECK")</f>
        <v/>
      </c>
    </row>
    <row r="825">
      <c r="A825" s="9" t="n">
        <v>36</v>
      </c>
      <c r="B825" s="9" t="n">
        <v>13</v>
      </c>
      <c r="C825" s="9" t="n">
        <v>23</v>
      </c>
      <c r="D825" s="9" t="n">
        <v>12</v>
      </c>
      <c r="E825" s="10">
        <f>COMBIN(A825,D825)/COMBIN(A825-B825,D825)</f>
        <v/>
      </c>
      <c r="F825" s="11">
        <f>ROUNDUP(E825*Controls!$B$4,4)</f>
        <v/>
      </c>
      <c r="G825" s="12">
        <f>F825/E825</f>
        <v/>
      </c>
      <c r="H825" s="10">
        <f>(A825-B825-(D825-1))/(A825-(D825-1))</f>
        <v/>
      </c>
      <c r="I825" s="9">
        <f>A825&amp;'x'&amp;B825</f>
        <v/>
      </c>
      <c r="J825" s="9">
        <f>IF(AND(G825&gt;0.9,G825&lt;1),"OK","CHECK")</f>
        <v/>
      </c>
    </row>
    <row r="826">
      <c r="A826" s="9" t="n">
        <v>36</v>
      </c>
      <c r="B826" s="9" t="n">
        <v>13</v>
      </c>
      <c r="C826" s="9" t="n">
        <v>23</v>
      </c>
      <c r="D826" s="9" t="n">
        <v>13</v>
      </c>
      <c r="E826" s="10">
        <f>COMBIN(A826,D826)/COMBIN(A826-B826,D826)</f>
        <v/>
      </c>
      <c r="F826" s="11">
        <f>ROUNDUP(E826*Controls!$B$4,4)</f>
        <v/>
      </c>
      <c r="G826" s="12">
        <f>F826/E826</f>
        <v/>
      </c>
      <c r="H826" s="10">
        <f>(A826-B826-(D826-1))/(A826-(D826-1))</f>
        <v/>
      </c>
      <c r="I826" s="9">
        <f>A826&amp;'x'&amp;B826</f>
        <v/>
      </c>
      <c r="J826" s="9">
        <f>IF(AND(G826&gt;0.9,G826&lt;1),"OK","CHECK")</f>
        <v/>
      </c>
    </row>
    <row r="827">
      <c r="A827" s="9" t="n">
        <v>36</v>
      </c>
      <c r="B827" s="9" t="n">
        <v>13</v>
      </c>
      <c r="C827" s="9" t="n">
        <v>23</v>
      </c>
      <c r="D827" s="9" t="n">
        <v>14</v>
      </c>
      <c r="E827" s="10">
        <f>COMBIN(A827,D827)/COMBIN(A827-B827,D827)</f>
        <v/>
      </c>
      <c r="F827" s="11">
        <f>ROUNDUP(E827*Controls!$B$4,4)</f>
        <v/>
      </c>
      <c r="G827" s="12">
        <f>F827/E827</f>
        <v/>
      </c>
      <c r="H827" s="10">
        <f>(A827-B827-(D827-1))/(A827-(D827-1))</f>
        <v/>
      </c>
      <c r="I827" s="9">
        <f>A827&amp;'x'&amp;B827</f>
        <v/>
      </c>
      <c r="J827" s="9">
        <f>IF(AND(G827&gt;0.9,G827&lt;1),"OK","CHECK")</f>
        <v/>
      </c>
    </row>
    <row r="828">
      <c r="A828" s="9" t="n">
        <v>36</v>
      </c>
      <c r="B828" s="9" t="n">
        <v>13</v>
      </c>
      <c r="C828" s="9" t="n">
        <v>23</v>
      </c>
      <c r="D828" s="9" t="n">
        <v>15</v>
      </c>
      <c r="E828" s="10">
        <f>COMBIN(A828,D828)/COMBIN(A828-B828,D828)</f>
        <v/>
      </c>
      <c r="F828" s="11">
        <f>ROUNDUP(E828*Controls!$B$4,4)</f>
        <v/>
      </c>
      <c r="G828" s="12">
        <f>F828/E828</f>
        <v/>
      </c>
      <c r="H828" s="10">
        <f>(A828-B828-(D828-1))/(A828-(D828-1))</f>
        <v/>
      </c>
      <c r="I828" s="9">
        <f>A828&amp;'x'&amp;B828</f>
        <v/>
      </c>
      <c r="J828" s="9">
        <f>IF(AND(G828&gt;0.9,G828&lt;1),"OK","CHECK")</f>
        <v/>
      </c>
    </row>
    <row r="829">
      <c r="A829" s="9" t="n">
        <v>36</v>
      </c>
      <c r="B829" s="9" t="n">
        <v>13</v>
      </c>
      <c r="C829" s="9" t="n">
        <v>23</v>
      </c>
      <c r="D829" s="9" t="n">
        <v>16</v>
      </c>
      <c r="E829" s="10">
        <f>COMBIN(A829,D829)/COMBIN(A829-B829,D829)</f>
        <v/>
      </c>
      <c r="F829" s="11">
        <f>ROUNDUP(E829*Controls!$B$4,4)</f>
        <v/>
      </c>
      <c r="G829" s="12">
        <f>F829/E829</f>
        <v/>
      </c>
      <c r="H829" s="10">
        <f>(A829-B829-(D829-1))/(A829-(D829-1))</f>
        <v/>
      </c>
      <c r="I829" s="9">
        <f>A829&amp;'x'&amp;B829</f>
        <v/>
      </c>
      <c r="J829" s="9">
        <f>IF(AND(G829&gt;0.9,G829&lt;1),"OK","CHECK")</f>
        <v/>
      </c>
    </row>
    <row r="830">
      <c r="A830" s="9" t="n">
        <v>36</v>
      </c>
      <c r="B830" s="9" t="n">
        <v>13</v>
      </c>
      <c r="C830" s="9" t="n">
        <v>23</v>
      </c>
      <c r="D830" s="9" t="n">
        <v>17</v>
      </c>
      <c r="E830" s="10">
        <f>COMBIN(A830,D830)/COMBIN(A830-B830,D830)</f>
        <v/>
      </c>
      <c r="F830" s="11">
        <f>ROUNDUP(E830*Controls!$B$4,4)</f>
        <v/>
      </c>
      <c r="G830" s="12">
        <f>F830/E830</f>
        <v/>
      </c>
      <c r="H830" s="10">
        <f>(A830-B830-(D830-1))/(A830-(D830-1))</f>
        <v/>
      </c>
      <c r="I830" s="9">
        <f>A830&amp;'x'&amp;B830</f>
        <v/>
      </c>
      <c r="J830" s="9">
        <f>IF(AND(G830&gt;0.9,G830&lt;1),"OK","CHECK")</f>
        <v/>
      </c>
    </row>
    <row r="831">
      <c r="A831" s="9" t="n">
        <v>36</v>
      </c>
      <c r="B831" s="9" t="n">
        <v>13</v>
      </c>
      <c r="C831" s="9" t="n">
        <v>23</v>
      </c>
      <c r="D831" s="9" t="n">
        <v>18</v>
      </c>
      <c r="E831" s="10">
        <f>COMBIN(A831,D831)/COMBIN(A831-B831,D831)</f>
        <v/>
      </c>
      <c r="F831" s="11">
        <f>ROUNDUP(E831*Controls!$B$4,4)</f>
        <v/>
      </c>
      <c r="G831" s="12">
        <f>F831/E831</f>
        <v/>
      </c>
      <c r="H831" s="10">
        <f>(A831-B831-(D831-1))/(A831-(D831-1))</f>
        <v/>
      </c>
      <c r="I831" s="9">
        <f>A831&amp;'x'&amp;B831</f>
        <v/>
      </c>
      <c r="J831" s="9">
        <f>IF(AND(G831&gt;0.9,G831&lt;1),"OK","CHECK")</f>
        <v/>
      </c>
    </row>
    <row r="832">
      <c r="A832" s="9" t="n">
        <v>36</v>
      </c>
      <c r="B832" s="9" t="n">
        <v>13</v>
      </c>
      <c r="C832" s="9" t="n">
        <v>23</v>
      </c>
      <c r="D832" s="9" t="n">
        <v>19</v>
      </c>
      <c r="E832" s="10">
        <f>COMBIN(A832,D832)/COMBIN(A832-B832,D832)</f>
        <v/>
      </c>
      <c r="F832" s="11">
        <f>ROUNDUP(E832*Controls!$B$4,4)</f>
        <v/>
      </c>
      <c r="G832" s="12">
        <f>F832/E832</f>
        <v/>
      </c>
      <c r="H832" s="10">
        <f>(A832-B832-(D832-1))/(A832-(D832-1))</f>
        <v/>
      </c>
      <c r="I832" s="9">
        <f>A832&amp;'x'&amp;B832</f>
        <v/>
      </c>
      <c r="J832" s="9">
        <f>IF(AND(G832&gt;0.9,G832&lt;1),"OK","CHECK")</f>
        <v/>
      </c>
    </row>
    <row r="833">
      <c r="A833" s="9" t="n">
        <v>36</v>
      </c>
      <c r="B833" s="9" t="n">
        <v>13</v>
      </c>
      <c r="C833" s="9" t="n">
        <v>23</v>
      </c>
      <c r="D833" s="9" t="n">
        <v>20</v>
      </c>
      <c r="E833" s="10">
        <f>COMBIN(A833,D833)/COMBIN(A833-B833,D833)</f>
        <v/>
      </c>
      <c r="F833" s="11">
        <f>ROUNDUP(E833*Controls!$B$4,4)</f>
        <v/>
      </c>
      <c r="G833" s="12">
        <f>F833/E833</f>
        <v/>
      </c>
      <c r="H833" s="10">
        <f>(A833-B833-(D833-1))/(A833-(D833-1))</f>
        <v/>
      </c>
      <c r="I833" s="9">
        <f>A833&amp;'x'&amp;B833</f>
        <v/>
      </c>
      <c r="J833" s="9">
        <f>IF(AND(G833&gt;0.9,G833&lt;1),"OK","CHECK")</f>
        <v/>
      </c>
    </row>
    <row r="834">
      <c r="A834" s="9" t="n">
        <v>36</v>
      </c>
      <c r="B834" s="9" t="n">
        <v>13</v>
      </c>
      <c r="C834" s="9" t="n">
        <v>23</v>
      </c>
      <c r="D834" s="9" t="n">
        <v>21</v>
      </c>
      <c r="E834" s="10">
        <f>COMBIN(A834,D834)/COMBIN(A834-B834,D834)</f>
        <v/>
      </c>
      <c r="F834" s="11">
        <f>ROUNDUP(E834*Controls!$B$4,4)</f>
        <v/>
      </c>
      <c r="G834" s="12">
        <f>F834/E834</f>
        <v/>
      </c>
      <c r="H834" s="10">
        <f>(A834-B834-(D834-1))/(A834-(D834-1))</f>
        <v/>
      </c>
      <c r="I834" s="9">
        <f>A834&amp;'x'&amp;B834</f>
        <v/>
      </c>
      <c r="J834" s="9">
        <f>IF(AND(G834&gt;0.9,G834&lt;1),"OK","CHECK")</f>
        <v/>
      </c>
    </row>
    <row r="835">
      <c r="A835" s="9" t="n">
        <v>36</v>
      </c>
      <c r="B835" s="9" t="n">
        <v>13</v>
      </c>
      <c r="C835" s="9" t="n">
        <v>23</v>
      </c>
      <c r="D835" s="9" t="n">
        <v>22</v>
      </c>
      <c r="E835" s="10">
        <f>COMBIN(A835,D835)/COMBIN(A835-B835,D835)</f>
        <v/>
      </c>
      <c r="F835" s="11">
        <f>ROUNDUP(E835*Controls!$B$4,4)</f>
        <v/>
      </c>
      <c r="G835" s="12">
        <f>F835/E835</f>
        <v/>
      </c>
      <c r="H835" s="10">
        <f>(A835-B835-(D835-1))/(A835-(D835-1))</f>
        <v/>
      </c>
      <c r="I835" s="9">
        <f>A835&amp;'x'&amp;B835</f>
        <v/>
      </c>
      <c r="J835" s="9">
        <f>IF(AND(G835&gt;0.9,G835&lt;1),"OK","CHECK")</f>
        <v/>
      </c>
    </row>
    <row r="836">
      <c r="A836" s="9" t="n">
        <v>36</v>
      </c>
      <c r="B836" s="9" t="n">
        <v>13</v>
      </c>
      <c r="C836" s="9" t="n">
        <v>23</v>
      </c>
      <c r="D836" s="9" t="n">
        <v>23</v>
      </c>
      <c r="E836" s="10">
        <f>COMBIN(A836,D836)/COMBIN(A836-B836,D836)</f>
        <v/>
      </c>
      <c r="F836" s="11">
        <f>ROUNDUP(E836*Controls!$B$4,4)</f>
        <v/>
      </c>
      <c r="G836" s="12">
        <f>F836/E836</f>
        <v/>
      </c>
      <c r="H836" s="10">
        <f>(A836-B836-(D836-1))/(A836-(D836-1))</f>
        <v/>
      </c>
      <c r="I836" s="9">
        <f>A836&amp;'x'&amp;B836</f>
        <v/>
      </c>
      <c r="J836" s="9">
        <f>IF(AND(G836&gt;0.9,G836&lt;1),"OK","CHECK")</f>
        <v/>
      </c>
    </row>
    <row r="837">
      <c r="A837" s="9" t="n">
        <v>36</v>
      </c>
      <c r="B837" s="9" t="n">
        <v>14</v>
      </c>
      <c r="C837" s="9" t="n">
        <v>22</v>
      </c>
      <c r="D837" s="9" t="n">
        <v>1</v>
      </c>
      <c r="E837" s="10">
        <f>COMBIN(A837,D837)/COMBIN(A837-B837,D837)</f>
        <v/>
      </c>
      <c r="F837" s="11">
        <f>ROUNDUP(E837*Controls!$B$4,4)</f>
        <v/>
      </c>
      <c r="G837" s="12">
        <f>F837/E837</f>
        <v/>
      </c>
      <c r="H837" s="10">
        <f>(A837-B837-(D837-1))/(A837-(D837-1))</f>
        <v/>
      </c>
      <c r="I837" s="9">
        <f>A837&amp;'x'&amp;B837</f>
        <v/>
      </c>
      <c r="J837" s="9">
        <f>IF(AND(G837&gt;0.9,G837&lt;1),"OK","CHECK")</f>
        <v/>
      </c>
    </row>
    <row r="838">
      <c r="A838" s="9" t="n">
        <v>36</v>
      </c>
      <c r="B838" s="9" t="n">
        <v>14</v>
      </c>
      <c r="C838" s="9" t="n">
        <v>22</v>
      </c>
      <c r="D838" s="9" t="n">
        <v>2</v>
      </c>
      <c r="E838" s="10">
        <f>COMBIN(A838,D838)/COMBIN(A838-B838,D838)</f>
        <v/>
      </c>
      <c r="F838" s="11">
        <f>ROUNDUP(E838*Controls!$B$4,4)</f>
        <v/>
      </c>
      <c r="G838" s="12">
        <f>F838/E838</f>
        <v/>
      </c>
      <c r="H838" s="10">
        <f>(A838-B838-(D838-1))/(A838-(D838-1))</f>
        <v/>
      </c>
      <c r="I838" s="9">
        <f>A838&amp;'x'&amp;B838</f>
        <v/>
      </c>
      <c r="J838" s="9">
        <f>IF(AND(G838&gt;0.9,G838&lt;1),"OK","CHECK")</f>
        <v/>
      </c>
    </row>
    <row r="839">
      <c r="A839" s="9" t="n">
        <v>36</v>
      </c>
      <c r="B839" s="9" t="n">
        <v>14</v>
      </c>
      <c r="C839" s="9" t="n">
        <v>22</v>
      </c>
      <c r="D839" s="9" t="n">
        <v>3</v>
      </c>
      <c r="E839" s="10">
        <f>COMBIN(A839,D839)/COMBIN(A839-B839,D839)</f>
        <v/>
      </c>
      <c r="F839" s="11">
        <f>ROUNDUP(E839*Controls!$B$4,4)</f>
        <v/>
      </c>
      <c r="G839" s="12">
        <f>F839/E839</f>
        <v/>
      </c>
      <c r="H839" s="10">
        <f>(A839-B839-(D839-1))/(A839-(D839-1))</f>
        <v/>
      </c>
      <c r="I839" s="9">
        <f>A839&amp;'x'&amp;B839</f>
        <v/>
      </c>
      <c r="J839" s="9">
        <f>IF(AND(G839&gt;0.9,G839&lt;1),"OK","CHECK")</f>
        <v/>
      </c>
    </row>
    <row r="840">
      <c r="A840" s="9" t="n">
        <v>36</v>
      </c>
      <c r="B840" s="9" t="n">
        <v>14</v>
      </c>
      <c r="C840" s="9" t="n">
        <v>22</v>
      </c>
      <c r="D840" s="9" t="n">
        <v>4</v>
      </c>
      <c r="E840" s="10">
        <f>COMBIN(A840,D840)/COMBIN(A840-B840,D840)</f>
        <v/>
      </c>
      <c r="F840" s="11">
        <f>ROUNDUP(E840*Controls!$B$4,4)</f>
        <v/>
      </c>
      <c r="G840" s="12">
        <f>F840/E840</f>
        <v/>
      </c>
      <c r="H840" s="10">
        <f>(A840-B840-(D840-1))/(A840-(D840-1))</f>
        <v/>
      </c>
      <c r="I840" s="9">
        <f>A840&amp;'x'&amp;B840</f>
        <v/>
      </c>
      <c r="J840" s="9">
        <f>IF(AND(G840&gt;0.9,G840&lt;1),"OK","CHECK")</f>
        <v/>
      </c>
    </row>
    <row r="841">
      <c r="A841" s="9" t="n">
        <v>36</v>
      </c>
      <c r="B841" s="9" t="n">
        <v>14</v>
      </c>
      <c r="C841" s="9" t="n">
        <v>22</v>
      </c>
      <c r="D841" s="9" t="n">
        <v>5</v>
      </c>
      <c r="E841" s="10">
        <f>COMBIN(A841,D841)/COMBIN(A841-B841,D841)</f>
        <v/>
      </c>
      <c r="F841" s="11">
        <f>ROUNDUP(E841*Controls!$B$4,4)</f>
        <v/>
      </c>
      <c r="G841" s="12">
        <f>F841/E841</f>
        <v/>
      </c>
      <c r="H841" s="10">
        <f>(A841-B841-(D841-1))/(A841-(D841-1))</f>
        <v/>
      </c>
      <c r="I841" s="9">
        <f>A841&amp;'x'&amp;B841</f>
        <v/>
      </c>
      <c r="J841" s="9">
        <f>IF(AND(G841&gt;0.9,G841&lt;1),"OK","CHECK")</f>
        <v/>
      </c>
    </row>
    <row r="842">
      <c r="A842" s="9" t="n">
        <v>36</v>
      </c>
      <c r="B842" s="9" t="n">
        <v>14</v>
      </c>
      <c r="C842" s="9" t="n">
        <v>22</v>
      </c>
      <c r="D842" s="9" t="n">
        <v>6</v>
      </c>
      <c r="E842" s="10">
        <f>COMBIN(A842,D842)/COMBIN(A842-B842,D842)</f>
        <v/>
      </c>
      <c r="F842" s="11">
        <f>ROUNDUP(E842*Controls!$B$4,4)</f>
        <v/>
      </c>
      <c r="G842" s="12">
        <f>F842/E842</f>
        <v/>
      </c>
      <c r="H842" s="10">
        <f>(A842-B842-(D842-1))/(A842-(D842-1))</f>
        <v/>
      </c>
      <c r="I842" s="9">
        <f>A842&amp;'x'&amp;B842</f>
        <v/>
      </c>
      <c r="J842" s="9">
        <f>IF(AND(G842&gt;0.9,G842&lt;1),"OK","CHECK")</f>
        <v/>
      </c>
    </row>
    <row r="843">
      <c r="A843" s="9" t="n">
        <v>36</v>
      </c>
      <c r="B843" s="9" t="n">
        <v>14</v>
      </c>
      <c r="C843" s="9" t="n">
        <v>22</v>
      </c>
      <c r="D843" s="9" t="n">
        <v>7</v>
      </c>
      <c r="E843" s="10">
        <f>COMBIN(A843,D843)/COMBIN(A843-B843,D843)</f>
        <v/>
      </c>
      <c r="F843" s="11">
        <f>ROUNDUP(E843*Controls!$B$4,4)</f>
        <v/>
      </c>
      <c r="G843" s="12">
        <f>F843/E843</f>
        <v/>
      </c>
      <c r="H843" s="10">
        <f>(A843-B843-(D843-1))/(A843-(D843-1))</f>
        <v/>
      </c>
      <c r="I843" s="9">
        <f>A843&amp;'x'&amp;B843</f>
        <v/>
      </c>
      <c r="J843" s="9">
        <f>IF(AND(G843&gt;0.9,G843&lt;1),"OK","CHECK")</f>
        <v/>
      </c>
    </row>
    <row r="844">
      <c r="A844" s="9" t="n">
        <v>36</v>
      </c>
      <c r="B844" s="9" t="n">
        <v>14</v>
      </c>
      <c r="C844" s="9" t="n">
        <v>22</v>
      </c>
      <c r="D844" s="9" t="n">
        <v>8</v>
      </c>
      <c r="E844" s="10">
        <f>COMBIN(A844,D844)/COMBIN(A844-B844,D844)</f>
        <v/>
      </c>
      <c r="F844" s="11">
        <f>ROUNDUP(E844*Controls!$B$4,4)</f>
        <v/>
      </c>
      <c r="G844" s="12">
        <f>F844/E844</f>
        <v/>
      </c>
      <c r="H844" s="10">
        <f>(A844-B844-(D844-1))/(A844-(D844-1))</f>
        <v/>
      </c>
      <c r="I844" s="9">
        <f>A844&amp;'x'&amp;B844</f>
        <v/>
      </c>
      <c r="J844" s="9">
        <f>IF(AND(G844&gt;0.9,G844&lt;1),"OK","CHECK")</f>
        <v/>
      </c>
    </row>
    <row r="845">
      <c r="A845" s="9" t="n">
        <v>36</v>
      </c>
      <c r="B845" s="9" t="n">
        <v>14</v>
      </c>
      <c r="C845" s="9" t="n">
        <v>22</v>
      </c>
      <c r="D845" s="9" t="n">
        <v>9</v>
      </c>
      <c r="E845" s="10">
        <f>COMBIN(A845,D845)/COMBIN(A845-B845,D845)</f>
        <v/>
      </c>
      <c r="F845" s="11">
        <f>ROUNDUP(E845*Controls!$B$4,4)</f>
        <v/>
      </c>
      <c r="G845" s="12">
        <f>F845/E845</f>
        <v/>
      </c>
      <c r="H845" s="10">
        <f>(A845-B845-(D845-1))/(A845-(D845-1))</f>
        <v/>
      </c>
      <c r="I845" s="9">
        <f>A845&amp;'x'&amp;B845</f>
        <v/>
      </c>
      <c r="J845" s="9">
        <f>IF(AND(G845&gt;0.9,G845&lt;1),"OK","CHECK")</f>
        <v/>
      </c>
    </row>
    <row r="846">
      <c r="A846" s="9" t="n">
        <v>36</v>
      </c>
      <c r="B846" s="9" t="n">
        <v>14</v>
      </c>
      <c r="C846" s="9" t="n">
        <v>22</v>
      </c>
      <c r="D846" s="9" t="n">
        <v>10</v>
      </c>
      <c r="E846" s="10">
        <f>COMBIN(A846,D846)/COMBIN(A846-B846,D846)</f>
        <v/>
      </c>
      <c r="F846" s="11">
        <f>ROUNDUP(E846*Controls!$B$4,4)</f>
        <v/>
      </c>
      <c r="G846" s="12">
        <f>F846/E846</f>
        <v/>
      </c>
      <c r="H846" s="10">
        <f>(A846-B846-(D846-1))/(A846-(D846-1))</f>
        <v/>
      </c>
      <c r="I846" s="9">
        <f>A846&amp;'x'&amp;B846</f>
        <v/>
      </c>
      <c r="J846" s="9">
        <f>IF(AND(G846&gt;0.9,G846&lt;1),"OK","CHECK")</f>
        <v/>
      </c>
    </row>
    <row r="847">
      <c r="A847" s="9" t="n">
        <v>36</v>
      </c>
      <c r="B847" s="9" t="n">
        <v>14</v>
      </c>
      <c r="C847" s="9" t="n">
        <v>22</v>
      </c>
      <c r="D847" s="9" t="n">
        <v>11</v>
      </c>
      <c r="E847" s="10">
        <f>COMBIN(A847,D847)/COMBIN(A847-B847,D847)</f>
        <v/>
      </c>
      <c r="F847" s="11">
        <f>ROUNDUP(E847*Controls!$B$4,4)</f>
        <v/>
      </c>
      <c r="G847" s="12">
        <f>F847/E847</f>
        <v/>
      </c>
      <c r="H847" s="10">
        <f>(A847-B847-(D847-1))/(A847-(D847-1))</f>
        <v/>
      </c>
      <c r="I847" s="9">
        <f>A847&amp;'x'&amp;B847</f>
        <v/>
      </c>
      <c r="J847" s="9">
        <f>IF(AND(G847&gt;0.9,G847&lt;1),"OK","CHECK")</f>
        <v/>
      </c>
    </row>
    <row r="848">
      <c r="A848" s="9" t="n">
        <v>36</v>
      </c>
      <c r="B848" s="9" t="n">
        <v>14</v>
      </c>
      <c r="C848" s="9" t="n">
        <v>22</v>
      </c>
      <c r="D848" s="9" t="n">
        <v>12</v>
      </c>
      <c r="E848" s="10">
        <f>COMBIN(A848,D848)/COMBIN(A848-B848,D848)</f>
        <v/>
      </c>
      <c r="F848" s="11">
        <f>ROUNDUP(E848*Controls!$B$4,4)</f>
        <v/>
      </c>
      <c r="G848" s="12">
        <f>F848/E848</f>
        <v/>
      </c>
      <c r="H848" s="10">
        <f>(A848-B848-(D848-1))/(A848-(D848-1))</f>
        <v/>
      </c>
      <c r="I848" s="9">
        <f>A848&amp;'x'&amp;B848</f>
        <v/>
      </c>
      <c r="J848" s="9">
        <f>IF(AND(G848&gt;0.9,G848&lt;1),"OK","CHECK")</f>
        <v/>
      </c>
    </row>
    <row r="849">
      <c r="A849" s="9" t="n">
        <v>36</v>
      </c>
      <c r="B849" s="9" t="n">
        <v>14</v>
      </c>
      <c r="C849" s="9" t="n">
        <v>22</v>
      </c>
      <c r="D849" s="9" t="n">
        <v>13</v>
      </c>
      <c r="E849" s="10">
        <f>COMBIN(A849,D849)/COMBIN(A849-B849,D849)</f>
        <v/>
      </c>
      <c r="F849" s="11">
        <f>ROUNDUP(E849*Controls!$B$4,4)</f>
        <v/>
      </c>
      <c r="G849" s="12">
        <f>F849/E849</f>
        <v/>
      </c>
      <c r="H849" s="10">
        <f>(A849-B849-(D849-1))/(A849-(D849-1))</f>
        <v/>
      </c>
      <c r="I849" s="9">
        <f>A849&amp;'x'&amp;B849</f>
        <v/>
      </c>
      <c r="J849" s="9">
        <f>IF(AND(G849&gt;0.9,G849&lt;1),"OK","CHECK")</f>
        <v/>
      </c>
    </row>
    <row r="850">
      <c r="A850" s="9" t="n">
        <v>36</v>
      </c>
      <c r="B850" s="9" t="n">
        <v>14</v>
      </c>
      <c r="C850" s="9" t="n">
        <v>22</v>
      </c>
      <c r="D850" s="9" t="n">
        <v>14</v>
      </c>
      <c r="E850" s="10">
        <f>COMBIN(A850,D850)/COMBIN(A850-B850,D850)</f>
        <v/>
      </c>
      <c r="F850" s="11">
        <f>ROUNDUP(E850*Controls!$B$4,4)</f>
        <v/>
      </c>
      <c r="G850" s="12">
        <f>F850/E850</f>
        <v/>
      </c>
      <c r="H850" s="10">
        <f>(A850-B850-(D850-1))/(A850-(D850-1))</f>
        <v/>
      </c>
      <c r="I850" s="9">
        <f>A850&amp;'x'&amp;B850</f>
        <v/>
      </c>
      <c r="J850" s="9">
        <f>IF(AND(G850&gt;0.9,G850&lt;1),"OK","CHECK")</f>
        <v/>
      </c>
    </row>
    <row r="851">
      <c r="A851" s="9" t="n">
        <v>36</v>
      </c>
      <c r="B851" s="9" t="n">
        <v>14</v>
      </c>
      <c r="C851" s="9" t="n">
        <v>22</v>
      </c>
      <c r="D851" s="9" t="n">
        <v>15</v>
      </c>
      <c r="E851" s="10">
        <f>COMBIN(A851,D851)/COMBIN(A851-B851,D851)</f>
        <v/>
      </c>
      <c r="F851" s="11">
        <f>ROUNDUP(E851*Controls!$B$4,4)</f>
        <v/>
      </c>
      <c r="G851" s="12">
        <f>F851/E851</f>
        <v/>
      </c>
      <c r="H851" s="10">
        <f>(A851-B851-(D851-1))/(A851-(D851-1))</f>
        <v/>
      </c>
      <c r="I851" s="9">
        <f>A851&amp;'x'&amp;B851</f>
        <v/>
      </c>
      <c r="J851" s="9">
        <f>IF(AND(G851&gt;0.9,G851&lt;1),"OK","CHECK")</f>
        <v/>
      </c>
    </row>
    <row r="852">
      <c r="A852" s="9" t="n">
        <v>36</v>
      </c>
      <c r="B852" s="9" t="n">
        <v>14</v>
      </c>
      <c r="C852" s="9" t="n">
        <v>22</v>
      </c>
      <c r="D852" s="9" t="n">
        <v>16</v>
      </c>
      <c r="E852" s="10">
        <f>COMBIN(A852,D852)/COMBIN(A852-B852,D852)</f>
        <v/>
      </c>
      <c r="F852" s="11">
        <f>ROUNDUP(E852*Controls!$B$4,4)</f>
        <v/>
      </c>
      <c r="G852" s="12">
        <f>F852/E852</f>
        <v/>
      </c>
      <c r="H852" s="10">
        <f>(A852-B852-(D852-1))/(A852-(D852-1))</f>
        <v/>
      </c>
      <c r="I852" s="9">
        <f>A852&amp;'x'&amp;B852</f>
        <v/>
      </c>
      <c r="J852" s="9">
        <f>IF(AND(G852&gt;0.9,G852&lt;1),"OK","CHECK")</f>
        <v/>
      </c>
    </row>
    <row r="853">
      <c r="A853" s="9" t="n">
        <v>36</v>
      </c>
      <c r="B853" s="9" t="n">
        <v>14</v>
      </c>
      <c r="C853" s="9" t="n">
        <v>22</v>
      </c>
      <c r="D853" s="9" t="n">
        <v>17</v>
      </c>
      <c r="E853" s="10">
        <f>COMBIN(A853,D853)/COMBIN(A853-B853,D853)</f>
        <v/>
      </c>
      <c r="F853" s="11">
        <f>ROUNDUP(E853*Controls!$B$4,4)</f>
        <v/>
      </c>
      <c r="G853" s="12">
        <f>F853/E853</f>
        <v/>
      </c>
      <c r="H853" s="10">
        <f>(A853-B853-(D853-1))/(A853-(D853-1))</f>
        <v/>
      </c>
      <c r="I853" s="9">
        <f>A853&amp;'x'&amp;B853</f>
        <v/>
      </c>
      <c r="J853" s="9">
        <f>IF(AND(G853&gt;0.9,G853&lt;1),"OK","CHECK")</f>
        <v/>
      </c>
    </row>
    <row r="854">
      <c r="A854" s="9" t="n">
        <v>36</v>
      </c>
      <c r="B854" s="9" t="n">
        <v>14</v>
      </c>
      <c r="C854" s="9" t="n">
        <v>22</v>
      </c>
      <c r="D854" s="9" t="n">
        <v>18</v>
      </c>
      <c r="E854" s="10">
        <f>COMBIN(A854,D854)/COMBIN(A854-B854,D854)</f>
        <v/>
      </c>
      <c r="F854" s="11">
        <f>ROUNDUP(E854*Controls!$B$4,4)</f>
        <v/>
      </c>
      <c r="G854" s="12">
        <f>F854/E854</f>
        <v/>
      </c>
      <c r="H854" s="10">
        <f>(A854-B854-(D854-1))/(A854-(D854-1))</f>
        <v/>
      </c>
      <c r="I854" s="9">
        <f>A854&amp;'x'&amp;B854</f>
        <v/>
      </c>
      <c r="J854" s="9">
        <f>IF(AND(G854&gt;0.9,G854&lt;1),"OK","CHECK")</f>
        <v/>
      </c>
    </row>
    <row r="855">
      <c r="A855" s="9" t="n">
        <v>36</v>
      </c>
      <c r="B855" s="9" t="n">
        <v>14</v>
      </c>
      <c r="C855" s="9" t="n">
        <v>22</v>
      </c>
      <c r="D855" s="9" t="n">
        <v>19</v>
      </c>
      <c r="E855" s="10">
        <f>COMBIN(A855,D855)/COMBIN(A855-B855,D855)</f>
        <v/>
      </c>
      <c r="F855" s="11">
        <f>ROUNDUP(E855*Controls!$B$4,4)</f>
        <v/>
      </c>
      <c r="G855" s="12">
        <f>F855/E855</f>
        <v/>
      </c>
      <c r="H855" s="10">
        <f>(A855-B855-(D855-1))/(A855-(D855-1))</f>
        <v/>
      </c>
      <c r="I855" s="9">
        <f>A855&amp;'x'&amp;B855</f>
        <v/>
      </c>
      <c r="J855" s="9">
        <f>IF(AND(G855&gt;0.9,G855&lt;1),"OK","CHECK")</f>
        <v/>
      </c>
    </row>
    <row r="856">
      <c r="A856" s="9" t="n">
        <v>36</v>
      </c>
      <c r="B856" s="9" t="n">
        <v>14</v>
      </c>
      <c r="C856" s="9" t="n">
        <v>22</v>
      </c>
      <c r="D856" s="9" t="n">
        <v>20</v>
      </c>
      <c r="E856" s="10">
        <f>COMBIN(A856,D856)/COMBIN(A856-B856,D856)</f>
        <v/>
      </c>
      <c r="F856" s="11">
        <f>ROUNDUP(E856*Controls!$B$4,4)</f>
        <v/>
      </c>
      <c r="G856" s="12">
        <f>F856/E856</f>
        <v/>
      </c>
      <c r="H856" s="10">
        <f>(A856-B856-(D856-1))/(A856-(D856-1))</f>
        <v/>
      </c>
      <c r="I856" s="9">
        <f>A856&amp;'x'&amp;B856</f>
        <v/>
      </c>
      <c r="J856" s="9">
        <f>IF(AND(G856&gt;0.9,G856&lt;1),"OK","CHECK")</f>
        <v/>
      </c>
    </row>
    <row r="857">
      <c r="A857" s="9" t="n">
        <v>36</v>
      </c>
      <c r="B857" s="9" t="n">
        <v>14</v>
      </c>
      <c r="C857" s="9" t="n">
        <v>22</v>
      </c>
      <c r="D857" s="9" t="n">
        <v>21</v>
      </c>
      <c r="E857" s="10">
        <f>COMBIN(A857,D857)/COMBIN(A857-B857,D857)</f>
        <v/>
      </c>
      <c r="F857" s="11">
        <f>ROUNDUP(E857*Controls!$B$4,4)</f>
        <v/>
      </c>
      <c r="G857" s="12">
        <f>F857/E857</f>
        <v/>
      </c>
      <c r="H857" s="10">
        <f>(A857-B857-(D857-1))/(A857-(D857-1))</f>
        <v/>
      </c>
      <c r="I857" s="9">
        <f>A857&amp;'x'&amp;B857</f>
        <v/>
      </c>
      <c r="J857" s="9">
        <f>IF(AND(G857&gt;0.9,G857&lt;1),"OK","CHECK")</f>
        <v/>
      </c>
    </row>
    <row r="858">
      <c r="A858" s="9" t="n">
        <v>36</v>
      </c>
      <c r="B858" s="9" t="n">
        <v>14</v>
      </c>
      <c r="C858" s="9" t="n">
        <v>22</v>
      </c>
      <c r="D858" s="9" t="n">
        <v>22</v>
      </c>
      <c r="E858" s="10">
        <f>COMBIN(A858,D858)/COMBIN(A858-B858,D858)</f>
        <v/>
      </c>
      <c r="F858" s="11">
        <f>ROUNDUP(E858*Controls!$B$4,4)</f>
        <v/>
      </c>
      <c r="G858" s="12">
        <f>F858/E858</f>
        <v/>
      </c>
      <c r="H858" s="10">
        <f>(A858-B858-(D858-1))/(A858-(D858-1))</f>
        <v/>
      </c>
      <c r="I858" s="9">
        <f>A858&amp;'x'&amp;B858</f>
        <v/>
      </c>
      <c r="J858" s="9">
        <f>IF(AND(G858&gt;0.9,G858&lt;1),"OK","CHECK")</f>
        <v/>
      </c>
    </row>
    <row r="859">
      <c r="A859" s="9" t="n">
        <v>36</v>
      </c>
      <c r="B859" s="9" t="n">
        <v>15</v>
      </c>
      <c r="C859" s="9" t="n">
        <v>21</v>
      </c>
      <c r="D859" s="9" t="n">
        <v>1</v>
      </c>
      <c r="E859" s="10">
        <f>COMBIN(A859,D859)/COMBIN(A859-B859,D859)</f>
        <v/>
      </c>
      <c r="F859" s="11">
        <f>ROUNDUP(E859*Controls!$B$4,4)</f>
        <v/>
      </c>
      <c r="G859" s="12">
        <f>F859/E859</f>
        <v/>
      </c>
      <c r="H859" s="10">
        <f>(A859-B859-(D859-1))/(A859-(D859-1))</f>
        <v/>
      </c>
      <c r="I859" s="9">
        <f>A859&amp;'x'&amp;B859</f>
        <v/>
      </c>
      <c r="J859" s="9">
        <f>IF(AND(G859&gt;0.9,G859&lt;1),"OK","CHECK")</f>
        <v/>
      </c>
    </row>
    <row r="860">
      <c r="A860" s="9" t="n">
        <v>36</v>
      </c>
      <c r="B860" s="9" t="n">
        <v>15</v>
      </c>
      <c r="C860" s="9" t="n">
        <v>21</v>
      </c>
      <c r="D860" s="9" t="n">
        <v>2</v>
      </c>
      <c r="E860" s="10">
        <f>COMBIN(A860,D860)/COMBIN(A860-B860,D860)</f>
        <v/>
      </c>
      <c r="F860" s="11">
        <f>ROUNDUP(E860*Controls!$B$4,4)</f>
        <v/>
      </c>
      <c r="G860" s="12">
        <f>F860/E860</f>
        <v/>
      </c>
      <c r="H860" s="10">
        <f>(A860-B860-(D860-1))/(A860-(D860-1))</f>
        <v/>
      </c>
      <c r="I860" s="9">
        <f>A860&amp;'x'&amp;B860</f>
        <v/>
      </c>
      <c r="J860" s="9">
        <f>IF(AND(G860&gt;0.9,G860&lt;1),"OK","CHECK")</f>
        <v/>
      </c>
    </row>
    <row r="861">
      <c r="A861" s="9" t="n">
        <v>36</v>
      </c>
      <c r="B861" s="9" t="n">
        <v>15</v>
      </c>
      <c r="C861" s="9" t="n">
        <v>21</v>
      </c>
      <c r="D861" s="9" t="n">
        <v>3</v>
      </c>
      <c r="E861" s="10">
        <f>COMBIN(A861,D861)/COMBIN(A861-B861,D861)</f>
        <v/>
      </c>
      <c r="F861" s="11">
        <f>ROUNDUP(E861*Controls!$B$4,4)</f>
        <v/>
      </c>
      <c r="G861" s="12">
        <f>F861/E861</f>
        <v/>
      </c>
      <c r="H861" s="10">
        <f>(A861-B861-(D861-1))/(A861-(D861-1))</f>
        <v/>
      </c>
      <c r="I861" s="9">
        <f>A861&amp;'x'&amp;B861</f>
        <v/>
      </c>
      <c r="J861" s="9">
        <f>IF(AND(G861&gt;0.9,G861&lt;1),"OK","CHECK")</f>
        <v/>
      </c>
    </row>
    <row r="862">
      <c r="A862" s="9" t="n">
        <v>36</v>
      </c>
      <c r="B862" s="9" t="n">
        <v>15</v>
      </c>
      <c r="C862" s="9" t="n">
        <v>21</v>
      </c>
      <c r="D862" s="9" t="n">
        <v>4</v>
      </c>
      <c r="E862" s="10">
        <f>COMBIN(A862,D862)/COMBIN(A862-B862,D862)</f>
        <v/>
      </c>
      <c r="F862" s="11">
        <f>ROUNDUP(E862*Controls!$B$4,4)</f>
        <v/>
      </c>
      <c r="G862" s="12">
        <f>F862/E862</f>
        <v/>
      </c>
      <c r="H862" s="10">
        <f>(A862-B862-(D862-1))/(A862-(D862-1))</f>
        <v/>
      </c>
      <c r="I862" s="9">
        <f>A862&amp;'x'&amp;B862</f>
        <v/>
      </c>
      <c r="J862" s="9">
        <f>IF(AND(G862&gt;0.9,G862&lt;1),"OK","CHECK")</f>
        <v/>
      </c>
    </row>
    <row r="863">
      <c r="A863" s="9" t="n">
        <v>36</v>
      </c>
      <c r="B863" s="9" t="n">
        <v>15</v>
      </c>
      <c r="C863" s="9" t="n">
        <v>21</v>
      </c>
      <c r="D863" s="9" t="n">
        <v>5</v>
      </c>
      <c r="E863" s="10">
        <f>COMBIN(A863,D863)/COMBIN(A863-B863,D863)</f>
        <v/>
      </c>
      <c r="F863" s="11">
        <f>ROUNDUP(E863*Controls!$B$4,4)</f>
        <v/>
      </c>
      <c r="G863" s="12">
        <f>F863/E863</f>
        <v/>
      </c>
      <c r="H863" s="10">
        <f>(A863-B863-(D863-1))/(A863-(D863-1))</f>
        <v/>
      </c>
      <c r="I863" s="9">
        <f>A863&amp;'x'&amp;B863</f>
        <v/>
      </c>
      <c r="J863" s="9">
        <f>IF(AND(G863&gt;0.9,G863&lt;1),"OK","CHECK")</f>
        <v/>
      </c>
    </row>
    <row r="864">
      <c r="A864" s="9" t="n">
        <v>36</v>
      </c>
      <c r="B864" s="9" t="n">
        <v>15</v>
      </c>
      <c r="C864" s="9" t="n">
        <v>21</v>
      </c>
      <c r="D864" s="9" t="n">
        <v>6</v>
      </c>
      <c r="E864" s="10">
        <f>COMBIN(A864,D864)/COMBIN(A864-B864,D864)</f>
        <v/>
      </c>
      <c r="F864" s="11">
        <f>ROUNDUP(E864*Controls!$B$4,4)</f>
        <v/>
      </c>
      <c r="G864" s="12">
        <f>F864/E864</f>
        <v/>
      </c>
      <c r="H864" s="10">
        <f>(A864-B864-(D864-1))/(A864-(D864-1))</f>
        <v/>
      </c>
      <c r="I864" s="9">
        <f>A864&amp;'x'&amp;B864</f>
        <v/>
      </c>
      <c r="J864" s="9">
        <f>IF(AND(G864&gt;0.9,G864&lt;1),"OK","CHECK")</f>
        <v/>
      </c>
    </row>
    <row r="865">
      <c r="A865" s="9" t="n">
        <v>36</v>
      </c>
      <c r="B865" s="9" t="n">
        <v>15</v>
      </c>
      <c r="C865" s="9" t="n">
        <v>21</v>
      </c>
      <c r="D865" s="9" t="n">
        <v>7</v>
      </c>
      <c r="E865" s="10">
        <f>COMBIN(A865,D865)/COMBIN(A865-B865,D865)</f>
        <v/>
      </c>
      <c r="F865" s="11">
        <f>ROUNDUP(E865*Controls!$B$4,4)</f>
        <v/>
      </c>
      <c r="G865" s="12">
        <f>F865/E865</f>
        <v/>
      </c>
      <c r="H865" s="10">
        <f>(A865-B865-(D865-1))/(A865-(D865-1))</f>
        <v/>
      </c>
      <c r="I865" s="9">
        <f>A865&amp;'x'&amp;B865</f>
        <v/>
      </c>
      <c r="J865" s="9">
        <f>IF(AND(G865&gt;0.9,G865&lt;1),"OK","CHECK")</f>
        <v/>
      </c>
    </row>
    <row r="866">
      <c r="A866" s="9" t="n">
        <v>36</v>
      </c>
      <c r="B866" s="9" t="n">
        <v>15</v>
      </c>
      <c r="C866" s="9" t="n">
        <v>21</v>
      </c>
      <c r="D866" s="9" t="n">
        <v>8</v>
      </c>
      <c r="E866" s="10">
        <f>COMBIN(A866,D866)/COMBIN(A866-B866,D866)</f>
        <v/>
      </c>
      <c r="F866" s="11">
        <f>ROUNDUP(E866*Controls!$B$4,4)</f>
        <v/>
      </c>
      <c r="G866" s="12">
        <f>F866/E866</f>
        <v/>
      </c>
      <c r="H866" s="10">
        <f>(A866-B866-(D866-1))/(A866-(D866-1))</f>
        <v/>
      </c>
      <c r="I866" s="9">
        <f>A866&amp;'x'&amp;B866</f>
        <v/>
      </c>
      <c r="J866" s="9">
        <f>IF(AND(G866&gt;0.9,G866&lt;1),"OK","CHECK")</f>
        <v/>
      </c>
    </row>
    <row r="867">
      <c r="A867" s="9" t="n">
        <v>36</v>
      </c>
      <c r="B867" s="9" t="n">
        <v>15</v>
      </c>
      <c r="C867" s="9" t="n">
        <v>21</v>
      </c>
      <c r="D867" s="9" t="n">
        <v>9</v>
      </c>
      <c r="E867" s="10">
        <f>COMBIN(A867,D867)/COMBIN(A867-B867,D867)</f>
        <v/>
      </c>
      <c r="F867" s="11">
        <f>ROUNDUP(E867*Controls!$B$4,4)</f>
        <v/>
      </c>
      <c r="G867" s="12">
        <f>F867/E867</f>
        <v/>
      </c>
      <c r="H867" s="10">
        <f>(A867-B867-(D867-1))/(A867-(D867-1))</f>
        <v/>
      </c>
      <c r="I867" s="9">
        <f>A867&amp;'x'&amp;B867</f>
        <v/>
      </c>
      <c r="J867" s="9">
        <f>IF(AND(G867&gt;0.9,G867&lt;1),"OK","CHECK")</f>
        <v/>
      </c>
    </row>
    <row r="868">
      <c r="A868" s="9" t="n">
        <v>36</v>
      </c>
      <c r="B868" s="9" t="n">
        <v>15</v>
      </c>
      <c r="C868" s="9" t="n">
        <v>21</v>
      </c>
      <c r="D868" s="9" t="n">
        <v>10</v>
      </c>
      <c r="E868" s="10">
        <f>COMBIN(A868,D868)/COMBIN(A868-B868,D868)</f>
        <v/>
      </c>
      <c r="F868" s="11">
        <f>ROUNDUP(E868*Controls!$B$4,4)</f>
        <v/>
      </c>
      <c r="G868" s="12">
        <f>F868/E868</f>
        <v/>
      </c>
      <c r="H868" s="10">
        <f>(A868-B868-(D868-1))/(A868-(D868-1))</f>
        <v/>
      </c>
      <c r="I868" s="9">
        <f>A868&amp;'x'&amp;B868</f>
        <v/>
      </c>
      <c r="J868" s="9">
        <f>IF(AND(G868&gt;0.9,G868&lt;1),"OK","CHECK")</f>
        <v/>
      </c>
    </row>
    <row r="869">
      <c r="A869" s="9" t="n">
        <v>36</v>
      </c>
      <c r="B869" s="9" t="n">
        <v>15</v>
      </c>
      <c r="C869" s="9" t="n">
        <v>21</v>
      </c>
      <c r="D869" s="9" t="n">
        <v>11</v>
      </c>
      <c r="E869" s="10">
        <f>COMBIN(A869,D869)/COMBIN(A869-B869,D869)</f>
        <v/>
      </c>
      <c r="F869" s="11">
        <f>ROUNDUP(E869*Controls!$B$4,4)</f>
        <v/>
      </c>
      <c r="G869" s="12">
        <f>F869/E869</f>
        <v/>
      </c>
      <c r="H869" s="10">
        <f>(A869-B869-(D869-1))/(A869-(D869-1))</f>
        <v/>
      </c>
      <c r="I869" s="9">
        <f>A869&amp;'x'&amp;B869</f>
        <v/>
      </c>
      <c r="J869" s="9">
        <f>IF(AND(G869&gt;0.9,G869&lt;1),"OK","CHECK")</f>
        <v/>
      </c>
    </row>
    <row r="870">
      <c r="A870" s="9" t="n">
        <v>36</v>
      </c>
      <c r="B870" s="9" t="n">
        <v>15</v>
      </c>
      <c r="C870" s="9" t="n">
        <v>21</v>
      </c>
      <c r="D870" s="9" t="n">
        <v>12</v>
      </c>
      <c r="E870" s="10">
        <f>COMBIN(A870,D870)/COMBIN(A870-B870,D870)</f>
        <v/>
      </c>
      <c r="F870" s="11">
        <f>ROUNDUP(E870*Controls!$B$4,4)</f>
        <v/>
      </c>
      <c r="G870" s="12">
        <f>F870/E870</f>
        <v/>
      </c>
      <c r="H870" s="10">
        <f>(A870-B870-(D870-1))/(A870-(D870-1))</f>
        <v/>
      </c>
      <c r="I870" s="9">
        <f>A870&amp;'x'&amp;B870</f>
        <v/>
      </c>
      <c r="J870" s="9">
        <f>IF(AND(G870&gt;0.9,G870&lt;1),"OK","CHECK")</f>
        <v/>
      </c>
    </row>
    <row r="871">
      <c r="A871" s="9" t="n">
        <v>36</v>
      </c>
      <c r="B871" s="9" t="n">
        <v>15</v>
      </c>
      <c r="C871" s="9" t="n">
        <v>21</v>
      </c>
      <c r="D871" s="9" t="n">
        <v>13</v>
      </c>
      <c r="E871" s="10">
        <f>COMBIN(A871,D871)/COMBIN(A871-B871,D871)</f>
        <v/>
      </c>
      <c r="F871" s="11">
        <f>ROUNDUP(E871*Controls!$B$4,4)</f>
        <v/>
      </c>
      <c r="G871" s="12">
        <f>F871/E871</f>
        <v/>
      </c>
      <c r="H871" s="10">
        <f>(A871-B871-(D871-1))/(A871-(D871-1))</f>
        <v/>
      </c>
      <c r="I871" s="9">
        <f>A871&amp;'x'&amp;B871</f>
        <v/>
      </c>
      <c r="J871" s="9">
        <f>IF(AND(G871&gt;0.9,G871&lt;1),"OK","CHECK")</f>
        <v/>
      </c>
    </row>
    <row r="872">
      <c r="A872" s="9" t="n">
        <v>36</v>
      </c>
      <c r="B872" s="9" t="n">
        <v>15</v>
      </c>
      <c r="C872" s="9" t="n">
        <v>21</v>
      </c>
      <c r="D872" s="9" t="n">
        <v>14</v>
      </c>
      <c r="E872" s="10">
        <f>COMBIN(A872,D872)/COMBIN(A872-B872,D872)</f>
        <v/>
      </c>
      <c r="F872" s="11">
        <f>ROUNDUP(E872*Controls!$B$4,4)</f>
        <v/>
      </c>
      <c r="G872" s="12">
        <f>F872/E872</f>
        <v/>
      </c>
      <c r="H872" s="10">
        <f>(A872-B872-(D872-1))/(A872-(D872-1))</f>
        <v/>
      </c>
      <c r="I872" s="9">
        <f>A872&amp;'x'&amp;B872</f>
        <v/>
      </c>
      <c r="J872" s="9">
        <f>IF(AND(G872&gt;0.9,G872&lt;1),"OK","CHECK")</f>
        <v/>
      </c>
    </row>
    <row r="873">
      <c r="A873" s="9" t="n">
        <v>36</v>
      </c>
      <c r="B873" s="9" t="n">
        <v>15</v>
      </c>
      <c r="C873" s="9" t="n">
        <v>21</v>
      </c>
      <c r="D873" s="9" t="n">
        <v>15</v>
      </c>
      <c r="E873" s="10">
        <f>COMBIN(A873,D873)/COMBIN(A873-B873,D873)</f>
        <v/>
      </c>
      <c r="F873" s="11">
        <f>ROUNDUP(E873*Controls!$B$4,4)</f>
        <v/>
      </c>
      <c r="G873" s="12">
        <f>F873/E873</f>
        <v/>
      </c>
      <c r="H873" s="10">
        <f>(A873-B873-(D873-1))/(A873-(D873-1))</f>
        <v/>
      </c>
      <c r="I873" s="9">
        <f>A873&amp;'x'&amp;B873</f>
        <v/>
      </c>
      <c r="J873" s="9">
        <f>IF(AND(G873&gt;0.9,G873&lt;1),"OK","CHECK")</f>
        <v/>
      </c>
    </row>
    <row r="874">
      <c r="A874" s="9" t="n">
        <v>36</v>
      </c>
      <c r="B874" s="9" t="n">
        <v>15</v>
      </c>
      <c r="C874" s="9" t="n">
        <v>21</v>
      </c>
      <c r="D874" s="9" t="n">
        <v>16</v>
      </c>
      <c r="E874" s="10">
        <f>COMBIN(A874,D874)/COMBIN(A874-B874,D874)</f>
        <v/>
      </c>
      <c r="F874" s="11">
        <f>ROUNDUP(E874*Controls!$B$4,4)</f>
        <v/>
      </c>
      <c r="G874" s="12">
        <f>F874/E874</f>
        <v/>
      </c>
      <c r="H874" s="10">
        <f>(A874-B874-(D874-1))/(A874-(D874-1))</f>
        <v/>
      </c>
      <c r="I874" s="9">
        <f>A874&amp;'x'&amp;B874</f>
        <v/>
      </c>
      <c r="J874" s="9">
        <f>IF(AND(G874&gt;0.9,G874&lt;1),"OK","CHECK")</f>
        <v/>
      </c>
    </row>
    <row r="875">
      <c r="A875" s="9" t="n">
        <v>36</v>
      </c>
      <c r="B875" s="9" t="n">
        <v>15</v>
      </c>
      <c r="C875" s="9" t="n">
        <v>21</v>
      </c>
      <c r="D875" s="9" t="n">
        <v>17</v>
      </c>
      <c r="E875" s="10">
        <f>COMBIN(A875,D875)/COMBIN(A875-B875,D875)</f>
        <v/>
      </c>
      <c r="F875" s="11">
        <f>ROUNDUP(E875*Controls!$B$4,4)</f>
        <v/>
      </c>
      <c r="G875" s="12">
        <f>F875/E875</f>
        <v/>
      </c>
      <c r="H875" s="10">
        <f>(A875-B875-(D875-1))/(A875-(D875-1))</f>
        <v/>
      </c>
      <c r="I875" s="9">
        <f>A875&amp;'x'&amp;B875</f>
        <v/>
      </c>
      <c r="J875" s="9">
        <f>IF(AND(G875&gt;0.9,G875&lt;1),"OK","CHECK")</f>
        <v/>
      </c>
    </row>
    <row r="876">
      <c r="A876" s="9" t="n">
        <v>36</v>
      </c>
      <c r="B876" s="9" t="n">
        <v>15</v>
      </c>
      <c r="C876" s="9" t="n">
        <v>21</v>
      </c>
      <c r="D876" s="9" t="n">
        <v>18</v>
      </c>
      <c r="E876" s="10">
        <f>COMBIN(A876,D876)/COMBIN(A876-B876,D876)</f>
        <v/>
      </c>
      <c r="F876" s="11">
        <f>ROUNDUP(E876*Controls!$B$4,4)</f>
        <v/>
      </c>
      <c r="G876" s="12">
        <f>F876/E876</f>
        <v/>
      </c>
      <c r="H876" s="10">
        <f>(A876-B876-(D876-1))/(A876-(D876-1))</f>
        <v/>
      </c>
      <c r="I876" s="9">
        <f>A876&amp;'x'&amp;B876</f>
        <v/>
      </c>
      <c r="J876" s="9">
        <f>IF(AND(G876&gt;0.9,G876&lt;1),"OK","CHECK")</f>
        <v/>
      </c>
    </row>
    <row r="877">
      <c r="A877" s="9" t="n">
        <v>36</v>
      </c>
      <c r="B877" s="9" t="n">
        <v>15</v>
      </c>
      <c r="C877" s="9" t="n">
        <v>21</v>
      </c>
      <c r="D877" s="9" t="n">
        <v>19</v>
      </c>
      <c r="E877" s="10">
        <f>COMBIN(A877,D877)/COMBIN(A877-B877,D877)</f>
        <v/>
      </c>
      <c r="F877" s="11">
        <f>ROUNDUP(E877*Controls!$B$4,4)</f>
        <v/>
      </c>
      <c r="G877" s="12">
        <f>F877/E877</f>
        <v/>
      </c>
      <c r="H877" s="10">
        <f>(A877-B877-(D877-1))/(A877-(D877-1))</f>
        <v/>
      </c>
      <c r="I877" s="9">
        <f>A877&amp;'x'&amp;B877</f>
        <v/>
      </c>
      <c r="J877" s="9">
        <f>IF(AND(G877&gt;0.9,G877&lt;1),"OK","CHECK")</f>
        <v/>
      </c>
    </row>
    <row r="878">
      <c r="A878" s="9" t="n">
        <v>36</v>
      </c>
      <c r="B878" s="9" t="n">
        <v>15</v>
      </c>
      <c r="C878" s="9" t="n">
        <v>21</v>
      </c>
      <c r="D878" s="9" t="n">
        <v>20</v>
      </c>
      <c r="E878" s="10">
        <f>COMBIN(A878,D878)/COMBIN(A878-B878,D878)</f>
        <v/>
      </c>
      <c r="F878" s="11">
        <f>ROUNDUP(E878*Controls!$B$4,4)</f>
        <v/>
      </c>
      <c r="G878" s="12">
        <f>F878/E878</f>
        <v/>
      </c>
      <c r="H878" s="10">
        <f>(A878-B878-(D878-1))/(A878-(D878-1))</f>
        <v/>
      </c>
      <c r="I878" s="9">
        <f>A878&amp;'x'&amp;B878</f>
        <v/>
      </c>
      <c r="J878" s="9">
        <f>IF(AND(G878&gt;0.9,G878&lt;1),"OK","CHECK")</f>
        <v/>
      </c>
    </row>
    <row r="879">
      <c r="A879" s="9" t="n">
        <v>36</v>
      </c>
      <c r="B879" s="9" t="n">
        <v>15</v>
      </c>
      <c r="C879" s="9" t="n">
        <v>21</v>
      </c>
      <c r="D879" s="9" t="n">
        <v>21</v>
      </c>
      <c r="E879" s="10">
        <f>COMBIN(A879,D879)/COMBIN(A879-B879,D879)</f>
        <v/>
      </c>
      <c r="F879" s="11">
        <f>ROUNDUP(E879*Controls!$B$4,4)</f>
        <v/>
      </c>
      <c r="G879" s="12">
        <f>F879/E879</f>
        <v/>
      </c>
      <c r="H879" s="10">
        <f>(A879-B879-(D879-1))/(A879-(D879-1))</f>
        <v/>
      </c>
      <c r="I879" s="9">
        <f>A879&amp;'x'&amp;B879</f>
        <v/>
      </c>
      <c r="J879" s="9">
        <f>IF(AND(G879&gt;0.9,G879&lt;1),"OK","CHECK")</f>
        <v/>
      </c>
    </row>
    <row r="880">
      <c r="A880" s="9" t="n">
        <v>36</v>
      </c>
      <c r="B880" s="9" t="n">
        <v>16</v>
      </c>
      <c r="C880" s="9" t="n">
        <v>20</v>
      </c>
      <c r="D880" s="9" t="n">
        <v>1</v>
      </c>
      <c r="E880" s="10">
        <f>COMBIN(A880,D880)/COMBIN(A880-B880,D880)</f>
        <v/>
      </c>
      <c r="F880" s="11">
        <f>ROUNDUP(E880*Controls!$B$4,4)</f>
        <v/>
      </c>
      <c r="G880" s="12">
        <f>F880/E880</f>
        <v/>
      </c>
      <c r="H880" s="10">
        <f>(A880-B880-(D880-1))/(A880-(D880-1))</f>
        <v/>
      </c>
      <c r="I880" s="9">
        <f>A880&amp;'x'&amp;B880</f>
        <v/>
      </c>
      <c r="J880" s="9">
        <f>IF(AND(G880&gt;0.9,G880&lt;1),"OK","CHECK")</f>
        <v/>
      </c>
    </row>
    <row r="881">
      <c r="A881" s="9" t="n">
        <v>36</v>
      </c>
      <c r="B881" s="9" t="n">
        <v>16</v>
      </c>
      <c r="C881" s="9" t="n">
        <v>20</v>
      </c>
      <c r="D881" s="9" t="n">
        <v>2</v>
      </c>
      <c r="E881" s="10">
        <f>COMBIN(A881,D881)/COMBIN(A881-B881,D881)</f>
        <v/>
      </c>
      <c r="F881" s="11">
        <f>ROUNDUP(E881*Controls!$B$4,4)</f>
        <v/>
      </c>
      <c r="G881" s="12">
        <f>F881/E881</f>
        <v/>
      </c>
      <c r="H881" s="10">
        <f>(A881-B881-(D881-1))/(A881-(D881-1))</f>
        <v/>
      </c>
      <c r="I881" s="9">
        <f>A881&amp;'x'&amp;B881</f>
        <v/>
      </c>
      <c r="J881" s="9">
        <f>IF(AND(G881&gt;0.9,G881&lt;1),"OK","CHECK")</f>
        <v/>
      </c>
    </row>
    <row r="882">
      <c r="A882" s="9" t="n">
        <v>36</v>
      </c>
      <c r="B882" s="9" t="n">
        <v>16</v>
      </c>
      <c r="C882" s="9" t="n">
        <v>20</v>
      </c>
      <c r="D882" s="9" t="n">
        <v>3</v>
      </c>
      <c r="E882" s="10">
        <f>COMBIN(A882,D882)/COMBIN(A882-B882,D882)</f>
        <v/>
      </c>
      <c r="F882" s="11">
        <f>ROUNDUP(E882*Controls!$B$4,4)</f>
        <v/>
      </c>
      <c r="G882" s="12">
        <f>F882/E882</f>
        <v/>
      </c>
      <c r="H882" s="10">
        <f>(A882-B882-(D882-1))/(A882-(D882-1))</f>
        <v/>
      </c>
      <c r="I882" s="9">
        <f>A882&amp;'x'&amp;B882</f>
        <v/>
      </c>
      <c r="J882" s="9">
        <f>IF(AND(G882&gt;0.9,G882&lt;1),"OK","CHECK")</f>
        <v/>
      </c>
    </row>
    <row r="883">
      <c r="A883" s="9" t="n">
        <v>36</v>
      </c>
      <c r="B883" s="9" t="n">
        <v>16</v>
      </c>
      <c r="C883" s="9" t="n">
        <v>20</v>
      </c>
      <c r="D883" s="9" t="n">
        <v>4</v>
      </c>
      <c r="E883" s="10">
        <f>COMBIN(A883,D883)/COMBIN(A883-B883,D883)</f>
        <v/>
      </c>
      <c r="F883" s="11">
        <f>ROUNDUP(E883*Controls!$B$4,4)</f>
        <v/>
      </c>
      <c r="G883" s="12">
        <f>F883/E883</f>
        <v/>
      </c>
      <c r="H883" s="10">
        <f>(A883-B883-(D883-1))/(A883-(D883-1))</f>
        <v/>
      </c>
      <c r="I883" s="9">
        <f>A883&amp;'x'&amp;B883</f>
        <v/>
      </c>
      <c r="J883" s="9">
        <f>IF(AND(G883&gt;0.9,G883&lt;1),"OK","CHECK")</f>
        <v/>
      </c>
    </row>
    <row r="884">
      <c r="A884" s="9" t="n">
        <v>36</v>
      </c>
      <c r="B884" s="9" t="n">
        <v>16</v>
      </c>
      <c r="C884" s="9" t="n">
        <v>20</v>
      </c>
      <c r="D884" s="9" t="n">
        <v>5</v>
      </c>
      <c r="E884" s="10">
        <f>COMBIN(A884,D884)/COMBIN(A884-B884,D884)</f>
        <v/>
      </c>
      <c r="F884" s="11">
        <f>ROUNDUP(E884*Controls!$B$4,4)</f>
        <v/>
      </c>
      <c r="G884" s="12">
        <f>F884/E884</f>
        <v/>
      </c>
      <c r="H884" s="10">
        <f>(A884-B884-(D884-1))/(A884-(D884-1))</f>
        <v/>
      </c>
      <c r="I884" s="9">
        <f>A884&amp;'x'&amp;B884</f>
        <v/>
      </c>
      <c r="J884" s="9">
        <f>IF(AND(G884&gt;0.9,G884&lt;1),"OK","CHECK")</f>
        <v/>
      </c>
    </row>
    <row r="885">
      <c r="A885" s="9" t="n">
        <v>36</v>
      </c>
      <c r="B885" s="9" t="n">
        <v>16</v>
      </c>
      <c r="C885" s="9" t="n">
        <v>20</v>
      </c>
      <c r="D885" s="9" t="n">
        <v>6</v>
      </c>
      <c r="E885" s="10">
        <f>COMBIN(A885,D885)/COMBIN(A885-B885,D885)</f>
        <v/>
      </c>
      <c r="F885" s="11">
        <f>ROUNDUP(E885*Controls!$B$4,4)</f>
        <v/>
      </c>
      <c r="G885" s="12">
        <f>F885/E885</f>
        <v/>
      </c>
      <c r="H885" s="10">
        <f>(A885-B885-(D885-1))/(A885-(D885-1))</f>
        <v/>
      </c>
      <c r="I885" s="9">
        <f>A885&amp;'x'&amp;B885</f>
        <v/>
      </c>
      <c r="J885" s="9">
        <f>IF(AND(G885&gt;0.9,G885&lt;1),"OK","CHECK")</f>
        <v/>
      </c>
    </row>
    <row r="886">
      <c r="A886" s="9" t="n">
        <v>36</v>
      </c>
      <c r="B886" s="9" t="n">
        <v>16</v>
      </c>
      <c r="C886" s="9" t="n">
        <v>20</v>
      </c>
      <c r="D886" s="9" t="n">
        <v>7</v>
      </c>
      <c r="E886" s="10">
        <f>COMBIN(A886,D886)/COMBIN(A886-B886,D886)</f>
        <v/>
      </c>
      <c r="F886" s="11">
        <f>ROUNDUP(E886*Controls!$B$4,4)</f>
        <v/>
      </c>
      <c r="G886" s="12">
        <f>F886/E886</f>
        <v/>
      </c>
      <c r="H886" s="10">
        <f>(A886-B886-(D886-1))/(A886-(D886-1))</f>
        <v/>
      </c>
      <c r="I886" s="9">
        <f>A886&amp;'x'&amp;B886</f>
        <v/>
      </c>
      <c r="J886" s="9">
        <f>IF(AND(G886&gt;0.9,G886&lt;1),"OK","CHECK")</f>
        <v/>
      </c>
    </row>
    <row r="887">
      <c r="A887" s="9" t="n">
        <v>36</v>
      </c>
      <c r="B887" s="9" t="n">
        <v>16</v>
      </c>
      <c r="C887" s="9" t="n">
        <v>20</v>
      </c>
      <c r="D887" s="9" t="n">
        <v>8</v>
      </c>
      <c r="E887" s="10">
        <f>COMBIN(A887,D887)/COMBIN(A887-B887,D887)</f>
        <v/>
      </c>
      <c r="F887" s="11">
        <f>ROUNDUP(E887*Controls!$B$4,4)</f>
        <v/>
      </c>
      <c r="G887" s="12">
        <f>F887/E887</f>
        <v/>
      </c>
      <c r="H887" s="10">
        <f>(A887-B887-(D887-1))/(A887-(D887-1))</f>
        <v/>
      </c>
      <c r="I887" s="9">
        <f>A887&amp;'x'&amp;B887</f>
        <v/>
      </c>
      <c r="J887" s="9">
        <f>IF(AND(G887&gt;0.9,G887&lt;1),"OK","CHECK")</f>
        <v/>
      </c>
    </row>
    <row r="888">
      <c r="A888" s="9" t="n">
        <v>36</v>
      </c>
      <c r="B888" s="9" t="n">
        <v>16</v>
      </c>
      <c r="C888" s="9" t="n">
        <v>20</v>
      </c>
      <c r="D888" s="9" t="n">
        <v>9</v>
      </c>
      <c r="E888" s="10">
        <f>COMBIN(A888,D888)/COMBIN(A888-B888,D888)</f>
        <v/>
      </c>
      <c r="F888" s="11">
        <f>ROUNDUP(E888*Controls!$B$4,4)</f>
        <v/>
      </c>
      <c r="G888" s="12">
        <f>F888/E888</f>
        <v/>
      </c>
      <c r="H888" s="10">
        <f>(A888-B888-(D888-1))/(A888-(D888-1))</f>
        <v/>
      </c>
      <c r="I888" s="9">
        <f>A888&amp;'x'&amp;B888</f>
        <v/>
      </c>
      <c r="J888" s="9">
        <f>IF(AND(G888&gt;0.9,G888&lt;1),"OK","CHECK")</f>
        <v/>
      </c>
    </row>
    <row r="889">
      <c r="A889" s="9" t="n">
        <v>36</v>
      </c>
      <c r="B889" s="9" t="n">
        <v>16</v>
      </c>
      <c r="C889" s="9" t="n">
        <v>20</v>
      </c>
      <c r="D889" s="9" t="n">
        <v>10</v>
      </c>
      <c r="E889" s="10">
        <f>COMBIN(A889,D889)/COMBIN(A889-B889,D889)</f>
        <v/>
      </c>
      <c r="F889" s="11">
        <f>ROUNDUP(E889*Controls!$B$4,4)</f>
        <v/>
      </c>
      <c r="G889" s="12">
        <f>F889/E889</f>
        <v/>
      </c>
      <c r="H889" s="10">
        <f>(A889-B889-(D889-1))/(A889-(D889-1))</f>
        <v/>
      </c>
      <c r="I889" s="9">
        <f>A889&amp;'x'&amp;B889</f>
        <v/>
      </c>
      <c r="J889" s="9">
        <f>IF(AND(G889&gt;0.9,G889&lt;1),"OK","CHECK")</f>
        <v/>
      </c>
    </row>
    <row r="890">
      <c r="A890" s="9" t="n">
        <v>36</v>
      </c>
      <c r="B890" s="9" t="n">
        <v>16</v>
      </c>
      <c r="C890" s="9" t="n">
        <v>20</v>
      </c>
      <c r="D890" s="9" t="n">
        <v>11</v>
      </c>
      <c r="E890" s="10">
        <f>COMBIN(A890,D890)/COMBIN(A890-B890,D890)</f>
        <v/>
      </c>
      <c r="F890" s="11">
        <f>ROUNDUP(E890*Controls!$B$4,4)</f>
        <v/>
      </c>
      <c r="G890" s="12">
        <f>F890/E890</f>
        <v/>
      </c>
      <c r="H890" s="10">
        <f>(A890-B890-(D890-1))/(A890-(D890-1))</f>
        <v/>
      </c>
      <c r="I890" s="9">
        <f>A890&amp;'x'&amp;B890</f>
        <v/>
      </c>
      <c r="J890" s="9">
        <f>IF(AND(G890&gt;0.9,G890&lt;1),"OK","CHECK")</f>
        <v/>
      </c>
    </row>
    <row r="891">
      <c r="A891" s="9" t="n">
        <v>36</v>
      </c>
      <c r="B891" s="9" t="n">
        <v>16</v>
      </c>
      <c r="C891" s="9" t="n">
        <v>20</v>
      </c>
      <c r="D891" s="9" t="n">
        <v>12</v>
      </c>
      <c r="E891" s="10">
        <f>COMBIN(A891,D891)/COMBIN(A891-B891,D891)</f>
        <v/>
      </c>
      <c r="F891" s="11">
        <f>ROUNDUP(E891*Controls!$B$4,4)</f>
        <v/>
      </c>
      <c r="G891" s="12">
        <f>F891/E891</f>
        <v/>
      </c>
      <c r="H891" s="10">
        <f>(A891-B891-(D891-1))/(A891-(D891-1))</f>
        <v/>
      </c>
      <c r="I891" s="9">
        <f>A891&amp;'x'&amp;B891</f>
        <v/>
      </c>
      <c r="J891" s="9">
        <f>IF(AND(G891&gt;0.9,G891&lt;1),"OK","CHECK")</f>
        <v/>
      </c>
    </row>
    <row r="892">
      <c r="A892" s="9" t="n">
        <v>36</v>
      </c>
      <c r="B892" s="9" t="n">
        <v>16</v>
      </c>
      <c r="C892" s="9" t="n">
        <v>20</v>
      </c>
      <c r="D892" s="9" t="n">
        <v>13</v>
      </c>
      <c r="E892" s="10">
        <f>COMBIN(A892,D892)/COMBIN(A892-B892,D892)</f>
        <v/>
      </c>
      <c r="F892" s="11">
        <f>ROUNDUP(E892*Controls!$B$4,4)</f>
        <v/>
      </c>
      <c r="G892" s="12">
        <f>F892/E892</f>
        <v/>
      </c>
      <c r="H892" s="10">
        <f>(A892-B892-(D892-1))/(A892-(D892-1))</f>
        <v/>
      </c>
      <c r="I892" s="9">
        <f>A892&amp;'x'&amp;B892</f>
        <v/>
      </c>
      <c r="J892" s="9">
        <f>IF(AND(G892&gt;0.9,G892&lt;1),"OK","CHECK")</f>
        <v/>
      </c>
    </row>
    <row r="893">
      <c r="A893" s="9" t="n">
        <v>36</v>
      </c>
      <c r="B893" s="9" t="n">
        <v>16</v>
      </c>
      <c r="C893" s="9" t="n">
        <v>20</v>
      </c>
      <c r="D893" s="9" t="n">
        <v>14</v>
      </c>
      <c r="E893" s="10">
        <f>COMBIN(A893,D893)/COMBIN(A893-B893,D893)</f>
        <v/>
      </c>
      <c r="F893" s="11">
        <f>ROUNDUP(E893*Controls!$B$4,4)</f>
        <v/>
      </c>
      <c r="G893" s="12">
        <f>F893/E893</f>
        <v/>
      </c>
      <c r="H893" s="10">
        <f>(A893-B893-(D893-1))/(A893-(D893-1))</f>
        <v/>
      </c>
      <c r="I893" s="9">
        <f>A893&amp;'x'&amp;B893</f>
        <v/>
      </c>
      <c r="J893" s="9">
        <f>IF(AND(G893&gt;0.9,G893&lt;1),"OK","CHECK")</f>
        <v/>
      </c>
    </row>
    <row r="894">
      <c r="A894" s="9" t="n">
        <v>36</v>
      </c>
      <c r="B894" s="9" t="n">
        <v>16</v>
      </c>
      <c r="C894" s="9" t="n">
        <v>20</v>
      </c>
      <c r="D894" s="9" t="n">
        <v>15</v>
      </c>
      <c r="E894" s="10">
        <f>COMBIN(A894,D894)/COMBIN(A894-B894,D894)</f>
        <v/>
      </c>
      <c r="F894" s="11">
        <f>ROUNDUP(E894*Controls!$B$4,4)</f>
        <v/>
      </c>
      <c r="G894" s="12">
        <f>F894/E894</f>
        <v/>
      </c>
      <c r="H894" s="10">
        <f>(A894-B894-(D894-1))/(A894-(D894-1))</f>
        <v/>
      </c>
      <c r="I894" s="9">
        <f>A894&amp;'x'&amp;B894</f>
        <v/>
      </c>
      <c r="J894" s="9">
        <f>IF(AND(G894&gt;0.9,G894&lt;1),"OK","CHECK")</f>
        <v/>
      </c>
    </row>
    <row r="895">
      <c r="A895" s="9" t="n">
        <v>36</v>
      </c>
      <c r="B895" s="9" t="n">
        <v>16</v>
      </c>
      <c r="C895" s="9" t="n">
        <v>20</v>
      </c>
      <c r="D895" s="9" t="n">
        <v>16</v>
      </c>
      <c r="E895" s="10">
        <f>COMBIN(A895,D895)/COMBIN(A895-B895,D895)</f>
        <v/>
      </c>
      <c r="F895" s="11">
        <f>ROUNDUP(E895*Controls!$B$4,4)</f>
        <v/>
      </c>
      <c r="G895" s="12">
        <f>F895/E895</f>
        <v/>
      </c>
      <c r="H895" s="10">
        <f>(A895-B895-(D895-1))/(A895-(D895-1))</f>
        <v/>
      </c>
      <c r="I895" s="9">
        <f>A895&amp;'x'&amp;B895</f>
        <v/>
      </c>
      <c r="J895" s="9">
        <f>IF(AND(G895&gt;0.9,G895&lt;1),"OK","CHECK")</f>
        <v/>
      </c>
    </row>
    <row r="896">
      <c r="A896" s="9" t="n">
        <v>36</v>
      </c>
      <c r="B896" s="9" t="n">
        <v>16</v>
      </c>
      <c r="C896" s="9" t="n">
        <v>20</v>
      </c>
      <c r="D896" s="9" t="n">
        <v>17</v>
      </c>
      <c r="E896" s="10">
        <f>COMBIN(A896,D896)/COMBIN(A896-B896,D896)</f>
        <v/>
      </c>
      <c r="F896" s="11">
        <f>ROUNDUP(E896*Controls!$B$4,4)</f>
        <v/>
      </c>
      <c r="G896" s="12">
        <f>F896/E896</f>
        <v/>
      </c>
      <c r="H896" s="10">
        <f>(A896-B896-(D896-1))/(A896-(D896-1))</f>
        <v/>
      </c>
      <c r="I896" s="9">
        <f>A896&amp;'x'&amp;B896</f>
        <v/>
      </c>
      <c r="J896" s="9">
        <f>IF(AND(G896&gt;0.9,G896&lt;1),"OK","CHECK")</f>
        <v/>
      </c>
    </row>
    <row r="897">
      <c r="A897" s="9" t="n">
        <v>36</v>
      </c>
      <c r="B897" s="9" t="n">
        <v>16</v>
      </c>
      <c r="C897" s="9" t="n">
        <v>20</v>
      </c>
      <c r="D897" s="9" t="n">
        <v>18</v>
      </c>
      <c r="E897" s="10">
        <f>COMBIN(A897,D897)/COMBIN(A897-B897,D897)</f>
        <v/>
      </c>
      <c r="F897" s="11">
        <f>ROUNDUP(E897*Controls!$B$4,4)</f>
        <v/>
      </c>
      <c r="G897" s="12">
        <f>F897/E897</f>
        <v/>
      </c>
      <c r="H897" s="10">
        <f>(A897-B897-(D897-1))/(A897-(D897-1))</f>
        <v/>
      </c>
      <c r="I897" s="9">
        <f>A897&amp;'x'&amp;B897</f>
        <v/>
      </c>
      <c r="J897" s="9">
        <f>IF(AND(G897&gt;0.9,G897&lt;1),"OK","CHECK")</f>
        <v/>
      </c>
    </row>
    <row r="898">
      <c r="A898" s="9" t="n">
        <v>36</v>
      </c>
      <c r="B898" s="9" t="n">
        <v>16</v>
      </c>
      <c r="C898" s="9" t="n">
        <v>20</v>
      </c>
      <c r="D898" s="9" t="n">
        <v>19</v>
      </c>
      <c r="E898" s="10">
        <f>COMBIN(A898,D898)/COMBIN(A898-B898,D898)</f>
        <v/>
      </c>
      <c r="F898" s="11">
        <f>ROUNDUP(E898*Controls!$B$4,4)</f>
        <v/>
      </c>
      <c r="G898" s="12">
        <f>F898/E898</f>
        <v/>
      </c>
      <c r="H898" s="10">
        <f>(A898-B898-(D898-1))/(A898-(D898-1))</f>
        <v/>
      </c>
      <c r="I898" s="9">
        <f>A898&amp;'x'&amp;B898</f>
        <v/>
      </c>
      <c r="J898" s="9">
        <f>IF(AND(G898&gt;0.9,G898&lt;1),"OK","CHECK")</f>
        <v/>
      </c>
    </row>
    <row r="899">
      <c r="A899" s="9" t="n">
        <v>36</v>
      </c>
      <c r="B899" s="9" t="n">
        <v>16</v>
      </c>
      <c r="C899" s="9" t="n">
        <v>20</v>
      </c>
      <c r="D899" s="9" t="n">
        <v>20</v>
      </c>
      <c r="E899" s="10">
        <f>COMBIN(A899,D899)/COMBIN(A899-B899,D899)</f>
        <v/>
      </c>
      <c r="F899" s="11">
        <f>ROUNDUP(E899*Controls!$B$4,4)</f>
        <v/>
      </c>
      <c r="G899" s="12">
        <f>F899/E899</f>
        <v/>
      </c>
      <c r="H899" s="10">
        <f>(A899-B899-(D899-1))/(A899-(D899-1))</f>
        <v/>
      </c>
      <c r="I899" s="9">
        <f>A899&amp;'x'&amp;B899</f>
        <v/>
      </c>
      <c r="J899" s="9">
        <f>IF(AND(G899&gt;0.9,G899&lt;1),"OK","CHECK")</f>
        <v/>
      </c>
    </row>
    <row r="900">
      <c r="A900" s="9" t="n">
        <v>36</v>
      </c>
      <c r="B900" s="9" t="n">
        <v>17</v>
      </c>
      <c r="C900" s="9" t="n">
        <v>19</v>
      </c>
      <c r="D900" s="9" t="n">
        <v>1</v>
      </c>
      <c r="E900" s="10">
        <f>COMBIN(A900,D900)/COMBIN(A900-B900,D900)</f>
        <v/>
      </c>
      <c r="F900" s="11">
        <f>ROUNDUP(E900*Controls!$B$4,4)</f>
        <v/>
      </c>
      <c r="G900" s="12">
        <f>F900/E900</f>
        <v/>
      </c>
      <c r="H900" s="10">
        <f>(A900-B900-(D900-1))/(A900-(D900-1))</f>
        <v/>
      </c>
      <c r="I900" s="9">
        <f>A900&amp;'x'&amp;B900</f>
        <v/>
      </c>
      <c r="J900" s="9">
        <f>IF(AND(G900&gt;0.9,G900&lt;1),"OK","CHECK")</f>
        <v/>
      </c>
    </row>
    <row r="901">
      <c r="A901" s="9" t="n">
        <v>36</v>
      </c>
      <c r="B901" s="9" t="n">
        <v>17</v>
      </c>
      <c r="C901" s="9" t="n">
        <v>19</v>
      </c>
      <c r="D901" s="9" t="n">
        <v>2</v>
      </c>
      <c r="E901" s="10">
        <f>COMBIN(A901,D901)/COMBIN(A901-B901,D901)</f>
        <v/>
      </c>
      <c r="F901" s="11">
        <f>ROUNDUP(E901*Controls!$B$4,4)</f>
        <v/>
      </c>
      <c r="G901" s="12">
        <f>F901/E901</f>
        <v/>
      </c>
      <c r="H901" s="10">
        <f>(A901-B901-(D901-1))/(A901-(D901-1))</f>
        <v/>
      </c>
      <c r="I901" s="9">
        <f>A901&amp;'x'&amp;B901</f>
        <v/>
      </c>
      <c r="J901" s="9">
        <f>IF(AND(G901&gt;0.9,G901&lt;1),"OK","CHECK")</f>
        <v/>
      </c>
    </row>
    <row r="902">
      <c r="A902" s="9" t="n">
        <v>36</v>
      </c>
      <c r="B902" s="9" t="n">
        <v>17</v>
      </c>
      <c r="C902" s="9" t="n">
        <v>19</v>
      </c>
      <c r="D902" s="9" t="n">
        <v>3</v>
      </c>
      <c r="E902" s="10">
        <f>COMBIN(A902,D902)/COMBIN(A902-B902,D902)</f>
        <v/>
      </c>
      <c r="F902" s="11">
        <f>ROUNDUP(E902*Controls!$B$4,4)</f>
        <v/>
      </c>
      <c r="G902" s="12">
        <f>F902/E902</f>
        <v/>
      </c>
      <c r="H902" s="10">
        <f>(A902-B902-(D902-1))/(A902-(D902-1))</f>
        <v/>
      </c>
      <c r="I902" s="9">
        <f>A902&amp;'x'&amp;B902</f>
        <v/>
      </c>
      <c r="J902" s="9">
        <f>IF(AND(G902&gt;0.9,G902&lt;1),"OK","CHECK")</f>
        <v/>
      </c>
    </row>
    <row r="903">
      <c r="A903" s="9" t="n">
        <v>36</v>
      </c>
      <c r="B903" s="9" t="n">
        <v>17</v>
      </c>
      <c r="C903" s="9" t="n">
        <v>19</v>
      </c>
      <c r="D903" s="9" t="n">
        <v>4</v>
      </c>
      <c r="E903" s="10">
        <f>COMBIN(A903,D903)/COMBIN(A903-B903,D903)</f>
        <v/>
      </c>
      <c r="F903" s="11">
        <f>ROUNDUP(E903*Controls!$B$4,4)</f>
        <v/>
      </c>
      <c r="G903" s="12">
        <f>F903/E903</f>
        <v/>
      </c>
      <c r="H903" s="10">
        <f>(A903-B903-(D903-1))/(A903-(D903-1))</f>
        <v/>
      </c>
      <c r="I903" s="9">
        <f>A903&amp;'x'&amp;B903</f>
        <v/>
      </c>
      <c r="J903" s="9">
        <f>IF(AND(G903&gt;0.9,G903&lt;1),"OK","CHECK")</f>
        <v/>
      </c>
    </row>
    <row r="904">
      <c r="A904" s="9" t="n">
        <v>36</v>
      </c>
      <c r="B904" s="9" t="n">
        <v>17</v>
      </c>
      <c r="C904" s="9" t="n">
        <v>19</v>
      </c>
      <c r="D904" s="9" t="n">
        <v>5</v>
      </c>
      <c r="E904" s="10">
        <f>COMBIN(A904,D904)/COMBIN(A904-B904,D904)</f>
        <v/>
      </c>
      <c r="F904" s="11">
        <f>ROUNDUP(E904*Controls!$B$4,4)</f>
        <v/>
      </c>
      <c r="G904" s="12">
        <f>F904/E904</f>
        <v/>
      </c>
      <c r="H904" s="10">
        <f>(A904-B904-(D904-1))/(A904-(D904-1))</f>
        <v/>
      </c>
      <c r="I904" s="9">
        <f>A904&amp;'x'&amp;B904</f>
        <v/>
      </c>
      <c r="J904" s="9">
        <f>IF(AND(G904&gt;0.9,G904&lt;1),"OK","CHECK")</f>
        <v/>
      </c>
    </row>
    <row r="905">
      <c r="A905" s="9" t="n">
        <v>36</v>
      </c>
      <c r="B905" s="9" t="n">
        <v>17</v>
      </c>
      <c r="C905" s="9" t="n">
        <v>19</v>
      </c>
      <c r="D905" s="9" t="n">
        <v>6</v>
      </c>
      <c r="E905" s="10">
        <f>COMBIN(A905,D905)/COMBIN(A905-B905,D905)</f>
        <v/>
      </c>
      <c r="F905" s="11">
        <f>ROUNDUP(E905*Controls!$B$4,4)</f>
        <v/>
      </c>
      <c r="G905" s="12">
        <f>F905/E905</f>
        <v/>
      </c>
      <c r="H905" s="10">
        <f>(A905-B905-(D905-1))/(A905-(D905-1))</f>
        <v/>
      </c>
      <c r="I905" s="9">
        <f>A905&amp;'x'&amp;B905</f>
        <v/>
      </c>
      <c r="J905" s="9">
        <f>IF(AND(G905&gt;0.9,G905&lt;1),"OK","CHECK")</f>
        <v/>
      </c>
    </row>
    <row r="906">
      <c r="A906" s="9" t="n">
        <v>36</v>
      </c>
      <c r="B906" s="9" t="n">
        <v>17</v>
      </c>
      <c r="C906" s="9" t="n">
        <v>19</v>
      </c>
      <c r="D906" s="9" t="n">
        <v>7</v>
      </c>
      <c r="E906" s="10">
        <f>COMBIN(A906,D906)/COMBIN(A906-B906,D906)</f>
        <v/>
      </c>
      <c r="F906" s="11">
        <f>ROUNDUP(E906*Controls!$B$4,4)</f>
        <v/>
      </c>
      <c r="G906" s="12">
        <f>F906/E906</f>
        <v/>
      </c>
      <c r="H906" s="10">
        <f>(A906-B906-(D906-1))/(A906-(D906-1))</f>
        <v/>
      </c>
      <c r="I906" s="9">
        <f>A906&amp;'x'&amp;B906</f>
        <v/>
      </c>
      <c r="J906" s="9">
        <f>IF(AND(G906&gt;0.9,G906&lt;1),"OK","CHECK")</f>
        <v/>
      </c>
    </row>
    <row r="907">
      <c r="A907" s="9" t="n">
        <v>36</v>
      </c>
      <c r="B907" s="9" t="n">
        <v>17</v>
      </c>
      <c r="C907" s="9" t="n">
        <v>19</v>
      </c>
      <c r="D907" s="9" t="n">
        <v>8</v>
      </c>
      <c r="E907" s="10">
        <f>COMBIN(A907,D907)/COMBIN(A907-B907,D907)</f>
        <v/>
      </c>
      <c r="F907" s="11">
        <f>ROUNDUP(E907*Controls!$B$4,4)</f>
        <v/>
      </c>
      <c r="G907" s="12">
        <f>F907/E907</f>
        <v/>
      </c>
      <c r="H907" s="10">
        <f>(A907-B907-(D907-1))/(A907-(D907-1))</f>
        <v/>
      </c>
      <c r="I907" s="9">
        <f>A907&amp;'x'&amp;B907</f>
        <v/>
      </c>
      <c r="J907" s="9">
        <f>IF(AND(G907&gt;0.9,G907&lt;1),"OK","CHECK")</f>
        <v/>
      </c>
    </row>
    <row r="908">
      <c r="A908" s="9" t="n">
        <v>36</v>
      </c>
      <c r="B908" s="9" t="n">
        <v>17</v>
      </c>
      <c r="C908" s="9" t="n">
        <v>19</v>
      </c>
      <c r="D908" s="9" t="n">
        <v>9</v>
      </c>
      <c r="E908" s="10">
        <f>COMBIN(A908,D908)/COMBIN(A908-B908,D908)</f>
        <v/>
      </c>
      <c r="F908" s="11">
        <f>ROUNDUP(E908*Controls!$B$4,4)</f>
        <v/>
      </c>
      <c r="G908" s="12">
        <f>F908/E908</f>
        <v/>
      </c>
      <c r="H908" s="10">
        <f>(A908-B908-(D908-1))/(A908-(D908-1))</f>
        <v/>
      </c>
      <c r="I908" s="9">
        <f>A908&amp;'x'&amp;B908</f>
        <v/>
      </c>
      <c r="J908" s="9">
        <f>IF(AND(G908&gt;0.9,G908&lt;1),"OK","CHECK")</f>
        <v/>
      </c>
    </row>
    <row r="909">
      <c r="A909" s="9" t="n">
        <v>36</v>
      </c>
      <c r="B909" s="9" t="n">
        <v>17</v>
      </c>
      <c r="C909" s="9" t="n">
        <v>19</v>
      </c>
      <c r="D909" s="9" t="n">
        <v>10</v>
      </c>
      <c r="E909" s="10">
        <f>COMBIN(A909,D909)/COMBIN(A909-B909,D909)</f>
        <v/>
      </c>
      <c r="F909" s="11">
        <f>ROUNDUP(E909*Controls!$B$4,4)</f>
        <v/>
      </c>
      <c r="G909" s="12">
        <f>F909/E909</f>
        <v/>
      </c>
      <c r="H909" s="10">
        <f>(A909-B909-(D909-1))/(A909-(D909-1))</f>
        <v/>
      </c>
      <c r="I909" s="9">
        <f>A909&amp;'x'&amp;B909</f>
        <v/>
      </c>
      <c r="J909" s="9">
        <f>IF(AND(G909&gt;0.9,G909&lt;1),"OK","CHECK")</f>
        <v/>
      </c>
    </row>
    <row r="910">
      <c r="A910" s="9" t="n">
        <v>36</v>
      </c>
      <c r="B910" s="9" t="n">
        <v>17</v>
      </c>
      <c r="C910" s="9" t="n">
        <v>19</v>
      </c>
      <c r="D910" s="9" t="n">
        <v>11</v>
      </c>
      <c r="E910" s="10">
        <f>COMBIN(A910,D910)/COMBIN(A910-B910,D910)</f>
        <v/>
      </c>
      <c r="F910" s="11">
        <f>ROUNDUP(E910*Controls!$B$4,4)</f>
        <v/>
      </c>
      <c r="G910" s="12">
        <f>F910/E910</f>
        <v/>
      </c>
      <c r="H910" s="10">
        <f>(A910-B910-(D910-1))/(A910-(D910-1))</f>
        <v/>
      </c>
      <c r="I910" s="9">
        <f>A910&amp;'x'&amp;B910</f>
        <v/>
      </c>
      <c r="J910" s="9">
        <f>IF(AND(G910&gt;0.9,G910&lt;1),"OK","CHECK")</f>
        <v/>
      </c>
    </row>
    <row r="911">
      <c r="A911" s="9" t="n">
        <v>36</v>
      </c>
      <c r="B911" s="9" t="n">
        <v>17</v>
      </c>
      <c r="C911" s="9" t="n">
        <v>19</v>
      </c>
      <c r="D911" s="9" t="n">
        <v>12</v>
      </c>
      <c r="E911" s="10">
        <f>COMBIN(A911,D911)/COMBIN(A911-B911,D911)</f>
        <v/>
      </c>
      <c r="F911" s="11">
        <f>ROUNDUP(E911*Controls!$B$4,4)</f>
        <v/>
      </c>
      <c r="G911" s="12">
        <f>F911/E911</f>
        <v/>
      </c>
      <c r="H911" s="10">
        <f>(A911-B911-(D911-1))/(A911-(D911-1))</f>
        <v/>
      </c>
      <c r="I911" s="9">
        <f>A911&amp;'x'&amp;B911</f>
        <v/>
      </c>
      <c r="J911" s="9">
        <f>IF(AND(G911&gt;0.9,G911&lt;1),"OK","CHECK")</f>
        <v/>
      </c>
    </row>
    <row r="912">
      <c r="A912" s="9" t="n">
        <v>36</v>
      </c>
      <c r="B912" s="9" t="n">
        <v>17</v>
      </c>
      <c r="C912" s="9" t="n">
        <v>19</v>
      </c>
      <c r="D912" s="9" t="n">
        <v>13</v>
      </c>
      <c r="E912" s="10">
        <f>COMBIN(A912,D912)/COMBIN(A912-B912,D912)</f>
        <v/>
      </c>
      <c r="F912" s="11">
        <f>ROUNDUP(E912*Controls!$B$4,4)</f>
        <v/>
      </c>
      <c r="G912" s="12">
        <f>F912/E912</f>
        <v/>
      </c>
      <c r="H912" s="10">
        <f>(A912-B912-(D912-1))/(A912-(D912-1))</f>
        <v/>
      </c>
      <c r="I912" s="9">
        <f>A912&amp;'x'&amp;B912</f>
        <v/>
      </c>
      <c r="J912" s="9">
        <f>IF(AND(G912&gt;0.9,G912&lt;1),"OK","CHECK")</f>
        <v/>
      </c>
    </row>
    <row r="913">
      <c r="A913" s="9" t="n">
        <v>36</v>
      </c>
      <c r="B913" s="9" t="n">
        <v>17</v>
      </c>
      <c r="C913" s="9" t="n">
        <v>19</v>
      </c>
      <c r="D913" s="9" t="n">
        <v>14</v>
      </c>
      <c r="E913" s="10">
        <f>COMBIN(A913,D913)/COMBIN(A913-B913,D913)</f>
        <v/>
      </c>
      <c r="F913" s="11">
        <f>ROUNDUP(E913*Controls!$B$4,4)</f>
        <v/>
      </c>
      <c r="G913" s="12">
        <f>F913/E913</f>
        <v/>
      </c>
      <c r="H913" s="10">
        <f>(A913-B913-(D913-1))/(A913-(D913-1))</f>
        <v/>
      </c>
      <c r="I913" s="9">
        <f>A913&amp;'x'&amp;B913</f>
        <v/>
      </c>
      <c r="J913" s="9">
        <f>IF(AND(G913&gt;0.9,G913&lt;1),"OK","CHECK")</f>
        <v/>
      </c>
    </row>
    <row r="914">
      <c r="A914" s="9" t="n">
        <v>36</v>
      </c>
      <c r="B914" s="9" t="n">
        <v>17</v>
      </c>
      <c r="C914" s="9" t="n">
        <v>19</v>
      </c>
      <c r="D914" s="9" t="n">
        <v>15</v>
      </c>
      <c r="E914" s="10">
        <f>COMBIN(A914,D914)/COMBIN(A914-B914,D914)</f>
        <v/>
      </c>
      <c r="F914" s="11">
        <f>ROUNDUP(E914*Controls!$B$4,4)</f>
        <v/>
      </c>
      <c r="G914" s="12">
        <f>F914/E914</f>
        <v/>
      </c>
      <c r="H914" s="10">
        <f>(A914-B914-(D914-1))/(A914-(D914-1))</f>
        <v/>
      </c>
      <c r="I914" s="9">
        <f>A914&amp;'x'&amp;B914</f>
        <v/>
      </c>
      <c r="J914" s="9">
        <f>IF(AND(G914&gt;0.9,G914&lt;1),"OK","CHECK")</f>
        <v/>
      </c>
    </row>
    <row r="915">
      <c r="A915" s="9" t="n">
        <v>36</v>
      </c>
      <c r="B915" s="9" t="n">
        <v>17</v>
      </c>
      <c r="C915" s="9" t="n">
        <v>19</v>
      </c>
      <c r="D915" s="9" t="n">
        <v>16</v>
      </c>
      <c r="E915" s="10">
        <f>COMBIN(A915,D915)/COMBIN(A915-B915,D915)</f>
        <v/>
      </c>
      <c r="F915" s="11">
        <f>ROUNDUP(E915*Controls!$B$4,4)</f>
        <v/>
      </c>
      <c r="G915" s="12">
        <f>F915/E915</f>
        <v/>
      </c>
      <c r="H915" s="10">
        <f>(A915-B915-(D915-1))/(A915-(D915-1))</f>
        <v/>
      </c>
      <c r="I915" s="9">
        <f>A915&amp;'x'&amp;B915</f>
        <v/>
      </c>
      <c r="J915" s="9">
        <f>IF(AND(G915&gt;0.9,G915&lt;1),"OK","CHECK")</f>
        <v/>
      </c>
    </row>
    <row r="916">
      <c r="A916" s="9" t="n">
        <v>36</v>
      </c>
      <c r="B916" s="9" t="n">
        <v>17</v>
      </c>
      <c r="C916" s="9" t="n">
        <v>19</v>
      </c>
      <c r="D916" s="9" t="n">
        <v>17</v>
      </c>
      <c r="E916" s="10">
        <f>COMBIN(A916,D916)/COMBIN(A916-B916,D916)</f>
        <v/>
      </c>
      <c r="F916" s="11">
        <f>ROUNDUP(E916*Controls!$B$4,4)</f>
        <v/>
      </c>
      <c r="G916" s="12">
        <f>F916/E916</f>
        <v/>
      </c>
      <c r="H916" s="10">
        <f>(A916-B916-(D916-1))/(A916-(D916-1))</f>
        <v/>
      </c>
      <c r="I916" s="9">
        <f>A916&amp;'x'&amp;B916</f>
        <v/>
      </c>
      <c r="J916" s="9">
        <f>IF(AND(G916&gt;0.9,G916&lt;1),"OK","CHECK")</f>
        <v/>
      </c>
    </row>
    <row r="917">
      <c r="A917" s="9" t="n">
        <v>36</v>
      </c>
      <c r="B917" s="9" t="n">
        <v>17</v>
      </c>
      <c r="C917" s="9" t="n">
        <v>19</v>
      </c>
      <c r="D917" s="9" t="n">
        <v>18</v>
      </c>
      <c r="E917" s="10">
        <f>COMBIN(A917,D917)/COMBIN(A917-B917,D917)</f>
        <v/>
      </c>
      <c r="F917" s="11">
        <f>ROUNDUP(E917*Controls!$B$4,4)</f>
        <v/>
      </c>
      <c r="G917" s="12">
        <f>F917/E917</f>
        <v/>
      </c>
      <c r="H917" s="10">
        <f>(A917-B917-(D917-1))/(A917-(D917-1))</f>
        <v/>
      </c>
      <c r="I917" s="9">
        <f>A917&amp;'x'&amp;B917</f>
        <v/>
      </c>
      <c r="J917" s="9">
        <f>IF(AND(G917&gt;0.9,G917&lt;1),"OK","CHECK")</f>
        <v/>
      </c>
    </row>
    <row r="918">
      <c r="A918" s="9" t="n">
        <v>36</v>
      </c>
      <c r="B918" s="9" t="n">
        <v>17</v>
      </c>
      <c r="C918" s="9" t="n">
        <v>19</v>
      </c>
      <c r="D918" s="9" t="n">
        <v>19</v>
      </c>
      <c r="E918" s="10">
        <f>COMBIN(A918,D918)/COMBIN(A918-B918,D918)</f>
        <v/>
      </c>
      <c r="F918" s="11">
        <f>ROUNDUP(E918*Controls!$B$4,4)</f>
        <v/>
      </c>
      <c r="G918" s="12">
        <f>F918/E918</f>
        <v/>
      </c>
      <c r="H918" s="10">
        <f>(A918-B918-(D918-1))/(A918-(D918-1))</f>
        <v/>
      </c>
      <c r="I918" s="9">
        <f>A918&amp;'x'&amp;B918</f>
        <v/>
      </c>
      <c r="J918" s="9">
        <f>IF(AND(G918&gt;0.9,G918&lt;1),"OK","CHECK")</f>
        <v/>
      </c>
    </row>
    <row r="919">
      <c r="A919" s="9" t="n">
        <v>36</v>
      </c>
      <c r="B919" s="9" t="n">
        <v>18</v>
      </c>
      <c r="C919" s="9" t="n">
        <v>18</v>
      </c>
      <c r="D919" s="9" t="n">
        <v>1</v>
      </c>
      <c r="E919" s="10">
        <f>COMBIN(A919,D919)/COMBIN(A919-B919,D919)</f>
        <v/>
      </c>
      <c r="F919" s="11">
        <f>ROUNDUP(E919*Controls!$B$4,4)</f>
        <v/>
      </c>
      <c r="G919" s="12">
        <f>F919/E919</f>
        <v/>
      </c>
      <c r="H919" s="10">
        <f>(A919-B919-(D919-1))/(A919-(D919-1))</f>
        <v/>
      </c>
      <c r="I919" s="9">
        <f>A919&amp;'x'&amp;B919</f>
        <v/>
      </c>
      <c r="J919" s="9">
        <f>IF(AND(G919&gt;0.9,G919&lt;1),"OK","CHECK")</f>
        <v/>
      </c>
    </row>
    <row r="920">
      <c r="A920" s="9" t="n">
        <v>36</v>
      </c>
      <c r="B920" s="9" t="n">
        <v>18</v>
      </c>
      <c r="C920" s="9" t="n">
        <v>18</v>
      </c>
      <c r="D920" s="9" t="n">
        <v>2</v>
      </c>
      <c r="E920" s="10">
        <f>COMBIN(A920,D920)/COMBIN(A920-B920,D920)</f>
        <v/>
      </c>
      <c r="F920" s="11">
        <f>ROUNDUP(E920*Controls!$B$4,4)</f>
        <v/>
      </c>
      <c r="G920" s="12">
        <f>F920/E920</f>
        <v/>
      </c>
      <c r="H920" s="10">
        <f>(A920-B920-(D920-1))/(A920-(D920-1))</f>
        <v/>
      </c>
      <c r="I920" s="9">
        <f>A920&amp;'x'&amp;B920</f>
        <v/>
      </c>
      <c r="J920" s="9">
        <f>IF(AND(G920&gt;0.9,G920&lt;1),"OK","CHECK")</f>
        <v/>
      </c>
    </row>
    <row r="921">
      <c r="A921" s="9" t="n">
        <v>36</v>
      </c>
      <c r="B921" s="9" t="n">
        <v>18</v>
      </c>
      <c r="C921" s="9" t="n">
        <v>18</v>
      </c>
      <c r="D921" s="9" t="n">
        <v>3</v>
      </c>
      <c r="E921" s="10">
        <f>COMBIN(A921,D921)/COMBIN(A921-B921,D921)</f>
        <v/>
      </c>
      <c r="F921" s="11">
        <f>ROUNDUP(E921*Controls!$B$4,4)</f>
        <v/>
      </c>
      <c r="G921" s="12">
        <f>F921/E921</f>
        <v/>
      </c>
      <c r="H921" s="10">
        <f>(A921-B921-(D921-1))/(A921-(D921-1))</f>
        <v/>
      </c>
      <c r="I921" s="9">
        <f>A921&amp;'x'&amp;B921</f>
        <v/>
      </c>
      <c r="J921" s="9">
        <f>IF(AND(G921&gt;0.9,G921&lt;1),"OK","CHECK")</f>
        <v/>
      </c>
    </row>
    <row r="922">
      <c r="A922" s="9" t="n">
        <v>36</v>
      </c>
      <c r="B922" s="9" t="n">
        <v>18</v>
      </c>
      <c r="C922" s="9" t="n">
        <v>18</v>
      </c>
      <c r="D922" s="9" t="n">
        <v>4</v>
      </c>
      <c r="E922" s="10">
        <f>COMBIN(A922,D922)/COMBIN(A922-B922,D922)</f>
        <v/>
      </c>
      <c r="F922" s="11">
        <f>ROUNDUP(E922*Controls!$B$4,4)</f>
        <v/>
      </c>
      <c r="G922" s="12">
        <f>F922/E922</f>
        <v/>
      </c>
      <c r="H922" s="10">
        <f>(A922-B922-(D922-1))/(A922-(D922-1))</f>
        <v/>
      </c>
      <c r="I922" s="9">
        <f>A922&amp;'x'&amp;B922</f>
        <v/>
      </c>
      <c r="J922" s="9">
        <f>IF(AND(G922&gt;0.9,G922&lt;1),"OK","CHECK")</f>
        <v/>
      </c>
    </row>
    <row r="923">
      <c r="A923" s="9" t="n">
        <v>36</v>
      </c>
      <c r="B923" s="9" t="n">
        <v>18</v>
      </c>
      <c r="C923" s="9" t="n">
        <v>18</v>
      </c>
      <c r="D923" s="9" t="n">
        <v>5</v>
      </c>
      <c r="E923" s="10">
        <f>COMBIN(A923,D923)/COMBIN(A923-B923,D923)</f>
        <v/>
      </c>
      <c r="F923" s="11">
        <f>ROUNDUP(E923*Controls!$B$4,4)</f>
        <v/>
      </c>
      <c r="G923" s="12">
        <f>F923/E923</f>
        <v/>
      </c>
      <c r="H923" s="10">
        <f>(A923-B923-(D923-1))/(A923-(D923-1))</f>
        <v/>
      </c>
      <c r="I923" s="9">
        <f>A923&amp;'x'&amp;B923</f>
        <v/>
      </c>
      <c r="J923" s="9">
        <f>IF(AND(G923&gt;0.9,G923&lt;1),"OK","CHECK")</f>
        <v/>
      </c>
    </row>
    <row r="924">
      <c r="A924" s="9" t="n">
        <v>36</v>
      </c>
      <c r="B924" s="9" t="n">
        <v>18</v>
      </c>
      <c r="C924" s="9" t="n">
        <v>18</v>
      </c>
      <c r="D924" s="9" t="n">
        <v>6</v>
      </c>
      <c r="E924" s="10">
        <f>COMBIN(A924,D924)/COMBIN(A924-B924,D924)</f>
        <v/>
      </c>
      <c r="F924" s="11">
        <f>ROUNDUP(E924*Controls!$B$4,4)</f>
        <v/>
      </c>
      <c r="G924" s="12">
        <f>F924/E924</f>
        <v/>
      </c>
      <c r="H924" s="10">
        <f>(A924-B924-(D924-1))/(A924-(D924-1))</f>
        <v/>
      </c>
      <c r="I924" s="9">
        <f>A924&amp;'x'&amp;B924</f>
        <v/>
      </c>
      <c r="J924" s="9">
        <f>IF(AND(G924&gt;0.9,G924&lt;1),"OK","CHECK")</f>
        <v/>
      </c>
    </row>
    <row r="925">
      <c r="A925" s="9" t="n">
        <v>36</v>
      </c>
      <c r="B925" s="9" t="n">
        <v>18</v>
      </c>
      <c r="C925" s="9" t="n">
        <v>18</v>
      </c>
      <c r="D925" s="9" t="n">
        <v>7</v>
      </c>
      <c r="E925" s="10">
        <f>COMBIN(A925,D925)/COMBIN(A925-B925,D925)</f>
        <v/>
      </c>
      <c r="F925" s="11">
        <f>ROUNDUP(E925*Controls!$B$4,4)</f>
        <v/>
      </c>
      <c r="G925" s="12">
        <f>F925/E925</f>
        <v/>
      </c>
      <c r="H925" s="10">
        <f>(A925-B925-(D925-1))/(A925-(D925-1))</f>
        <v/>
      </c>
      <c r="I925" s="9">
        <f>A925&amp;'x'&amp;B925</f>
        <v/>
      </c>
      <c r="J925" s="9">
        <f>IF(AND(G925&gt;0.9,G925&lt;1),"OK","CHECK")</f>
        <v/>
      </c>
    </row>
    <row r="926">
      <c r="A926" s="9" t="n">
        <v>36</v>
      </c>
      <c r="B926" s="9" t="n">
        <v>18</v>
      </c>
      <c r="C926" s="9" t="n">
        <v>18</v>
      </c>
      <c r="D926" s="9" t="n">
        <v>8</v>
      </c>
      <c r="E926" s="10">
        <f>COMBIN(A926,D926)/COMBIN(A926-B926,D926)</f>
        <v/>
      </c>
      <c r="F926" s="11">
        <f>ROUNDUP(E926*Controls!$B$4,4)</f>
        <v/>
      </c>
      <c r="G926" s="12">
        <f>F926/E926</f>
        <v/>
      </c>
      <c r="H926" s="10">
        <f>(A926-B926-(D926-1))/(A926-(D926-1))</f>
        <v/>
      </c>
      <c r="I926" s="9">
        <f>A926&amp;'x'&amp;B926</f>
        <v/>
      </c>
      <c r="J926" s="9">
        <f>IF(AND(G926&gt;0.9,G926&lt;1),"OK","CHECK")</f>
        <v/>
      </c>
    </row>
    <row r="927">
      <c r="A927" s="9" t="n">
        <v>36</v>
      </c>
      <c r="B927" s="9" t="n">
        <v>18</v>
      </c>
      <c r="C927" s="9" t="n">
        <v>18</v>
      </c>
      <c r="D927" s="9" t="n">
        <v>9</v>
      </c>
      <c r="E927" s="10">
        <f>COMBIN(A927,D927)/COMBIN(A927-B927,D927)</f>
        <v/>
      </c>
      <c r="F927" s="11">
        <f>ROUNDUP(E927*Controls!$B$4,4)</f>
        <v/>
      </c>
      <c r="G927" s="12">
        <f>F927/E927</f>
        <v/>
      </c>
      <c r="H927" s="10">
        <f>(A927-B927-(D927-1))/(A927-(D927-1))</f>
        <v/>
      </c>
      <c r="I927" s="9">
        <f>A927&amp;'x'&amp;B927</f>
        <v/>
      </c>
      <c r="J927" s="9">
        <f>IF(AND(G927&gt;0.9,G927&lt;1),"OK","CHECK")</f>
        <v/>
      </c>
    </row>
    <row r="928">
      <c r="A928" s="9" t="n">
        <v>36</v>
      </c>
      <c r="B928" s="9" t="n">
        <v>18</v>
      </c>
      <c r="C928" s="9" t="n">
        <v>18</v>
      </c>
      <c r="D928" s="9" t="n">
        <v>10</v>
      </c>
      <c r="E928" s="10">
        <f>COMBIN(A928,D928)/COMBIN(A928-B928,D928)</f>
        <v/>
      </c>
      <c r="F928" s="11">
        <f>ROUNDUP(E928*Controls!$B$4,4)</f>
        <v/>
      </c>
      <c r="G928" s="12">
        <f>F928/E928</f>
        <v/>
      </c>
      <c r="H928" s="10">
        <f>(A928-B928-(D928-1))/(A928-(D928-1))</f>
        <v/>
      </c>
      <c r="I928" s="9">
        <f>A928&amp;'x'&amp;B928</f>
        <v/>
      </c>
      <c r="J928" s="9">
        <f>IF(AND(G928&gt;0.9,G928&lt;1),"OK","CHECK")</f>
        <v/>
      </c>
    </row>
    <row r="929">
      <c r="A929" s="9" t="n">
        <v>36</v>
      </c>
      <c r="B929" s="9" t="n">
        <v>18</v>
      </c>
      <c r="C929" s="9" t="n">
        <v>18</v>
      </c>
      <c r="D929" s="9" t="n">
        <v>11</v>
      </c>
      <c r="E929" s="10">
        <f>COMBIN(A929,D929)/COMBIN(A929-B929,D929)</f>
        <v/>
      </c>
      <c r="F929" s="11">
        <f>ROUNDUP(E929*Controls!$B$4,4)</f>
        <v/>
      </c>
      <c r="G929" s="12">
        <f>F929/E929</f>
        <v/>
      </c>
      <c r="H929" s="10">
        <f>(A929-B929-(D929-1))/(A929-(D929-1))</f>
        <v/>
      </c>
      <c r="I929" s="9">
        <f>A929&amp;'x'&amp;B929</f>
        <v/>
      </c>
      <c r="J929" s="9">
        <f>IF(AND(G929&gt;0.9,G929&lt;1),"OK","CHECK")</f>
        <v/>
      </c>
    </row>
    <row r="930">
      <c r="A930" s="9" t="n">
        <v>36</v>
      </c>
      <c r="B930" s="9" t="n">
        <v>18</v>
      </c>
      <c r="C930" s="9" t="n">
        <v>18</v>
      </c>
      <c r="D930" s="9" t="n">
        <v>12</v>
      </c>
      <c r="E930" s="10">
        <f>COMBIN(A930,D930)/COMBIN(A930-B930,D930)</f>
        <v/>
      </c>
      <c r="F930" s="11">
        <f>ROUNDUP(E930*Controls!$B$4,4)</f>
        <v/>
      </c>
      <c r="G930" s="12">
        <f>F930/E930</f>
        <v/>
      </c>
      <c r="H930" s="10">
        <f>(A930-B930-(D930-1))/(A930-(D930-1))</f>
        <v/>
      </c>
      <c r="I930" s="9">
        <f>A930&amp;'x'&amp;B930</f>
        <v/>
      </c>
      <c r="J930" s="9">
        <f>IF(AND(G930&gt;0.9,G930&lt;1),"OK","CHECK")</f>
        <v/>
      </c>
    </row>
    <row r="931">
      <c r="A931" s="9" t="n">
        <v>36</v>
      </c>
      <c r="B931" s="9" t="n">
        <v>18</v>
      </c>
      <c r="C931" s="9" t="n">
        <v>18</v>
      </c>
      <c r="D931" s="9" t="n">
        <v>13</v>
      </c>
      <c r="E931" s="10">
        <f>COMBIN(A931,D931)/COMBIN(A931-B931,D931)</f>
        <v/>
      </c>
      <c r="F931" s="11">
        <f>ROUNDUP(E931*Controls!$B$4,4)</f>
        <v/>
      </c>
      <c r="G931" s="12">
        <f>F931/E931</f>
        <v/>
      </c>
      <c r="H931" s="10">
        <f>(A931-B931-(D931-1))/(A931-(D931-1))</f>
        <v/>
      </c>
      <c r="I931" s="9">
        <f>A931&amp;'x'&amp;B931</f>
        <v/>
      </c>
      <c r="J931" s="9">
        <f>IF(AND(G931&gt;0.9,G931&lt;1),"OK","CHECK")</f>
        <v/>
      </c>
    </row>
    <row r="932">
      <c r="A932" s="9" t="n">
        <v>36</v>
      </c>
      <c r="B932" s="9" t="n">
        <v>18</v>
      </c>
      <c r="C932" s="9" t="n">
        <v>18</v>
      </c>
      <c r="D932" s="9" t="n">
        <v>14</v>
      </c>
      <c r="E932" s="10">
        <f>COMBIN(A932,D932)/COMBIN(A932-B932,D932)</f>
        <v/>
      </c>
      <c r="F932" s="11">
        <f>ROUNDUP(E932*Controls!$B$4,4)</f>
        <v/>
      </c>
      <c r="G932" s="12">
        <f>F932/E932</f>
        <v/>
      </c>
      <c r="H932" s="10">
        <f>(A932-B932-(D932-1))/(A932-(D932-1))</f>
        <v/>
      </c>
      <c r="I932" s="9">
        <f>A932&amp;'x'&amp;B932</f>
        <v/>
      </c>
      <c r="J932" s="9">
        <f>IF(AND(G932&gt;0.9,G932&lt;1),"OK","CHECK")</f>
        <v/>
      </c>
    </row>
    <row r="933">
      <c r="A933" s="9" t="n">
        <v>36</v>
      </c>
      <c r="B933" s="9" t="n">
        <v>18</v>
      </c>
      <c r="C933" s="9" t="n">
        <v>18</v>
      </c>
      <c r="D933" s="9" t="n">
        <v>15</v>
      </c>
      <c r="E933" s="10">
        <f>COMBIN(A933,D933)/COMBIN(A933-B933,D933)</f>
        <v/>
      </c>
      <c r="F933" s="11">
        <f>ROUNDUP(E933*Controls!$B$4,4)</f>
        <v/>
      </c>
      <c r="G933" s="12">
        <f>F933/E933</f>
        <v/>
      </c>
      <c r="H933" s="10">
        <f>(A933-B933-(D933-1))/(A933-(D933-1))</f>
        <v/>
      </c>
      <c r="I933" s="9">
        <f>A933&amp;'x'&amp;B933</f>
        <v/>
      </c>
      <c r="J933" s="9">
        <f>IF(AND(G933&gt;0.9,G933&lt;1),"OK","CHECK")</f>
        <v/>
      </c>
    </row>
    <row r="934">
      <c r="A934" s="9" t="n">
        <v>36</v>
      </c>
      <c r="B934" s="9" t="n">
        <v>18</v>
      </c>
      <c r="C934" s="9" t="n">
        <v>18</v>
      </c>
      <c r="D934" s="9" t="n">
        <v>16</v>
      </c>
      <c r="E934" s="10">
        <f>COMBIN(A934,D934)/COMBIN(A934-B934,D934)</f>
        <v/>
      </c>
      <c r="F934" s="11">
        <f>ROUNDUP(E934*Controls!$B$4,4)</f>
        <v/>
      </c>
      <c r="G934" s="12">
        <f>F934/E934</f>
        <v/>
      </c>
      <c r="H934" s="10">
        <f>(A934-B934-(D934-1))/(A934-(D934-1))</f>
        <v/>
      </c>
      <c r="I934" s="9">
        <f>A934&amp;'x'&amp;B934</f>
        <v/>
      </c>
      <c r="J934" s="9">
        <f>IF(AND(G934&gt;0.9,G934&lt;1),"OK","CHECK")</f>
        <v/>
      </c>
    </row>
    <row r="935">
      <c r="A935" s="9" t="n">
        <v>36</v>
      </c>
      <c r="B935" s="9" t="n">
        <v>18</v>
      </c>
      <c r="C935" s="9" t="n">
        <v>18</v>
      </c>
      <c r="D935" s="9" t="n">
        <v>17</v>
      </c>
      <c r="E935" s="10">
        <f>COMBIN(A935,D935)/COMBIN(A935-B935,D935)</f>
        <v/>
      </c>
      <c r="F935" s="11">
        <f>ROUNDUP(E935*Controls!$B$4,4)</f>
        <v/>
      </c>
      <c r="G935" s="12">
        <f>F935/E935</f>
        <v/>
      </c>
      <c r="H935" s="10">
        <f>(A935-B935-(D935-1))/(A935-(D935-1))</f>
        <v/>
      </c>
      <c r="I935" s="9">
        <f>A935&amp;'x'&amp;B935</f>
        <v/>
      </c>
      <c r="J935" s="9">
        <f>IF(AND(G935&gt;0.9,G935&lt;1),"OK","CHECK")</f>
        <v/>
      </c>
    </row>
    <row r="936">
      <c r="A936" s="9" t="n">
        <v>36</v>
      </c>
      <c r="B936" s="9" t="n">
        <v>18</v>
      </c>
      <c r="C936" s="9" t="n">
        <v>18</v>
      </c>
      <c r="D936" s="9" t="n">
        <v>18</v>
      </c>
      <c r="E936" s="10">
        <f>COMBIN(A936,D936)/COMBIN(A936-B936,D936)</f>
        <v/>
      </c>
      <c r="F936" s="11">
        <f>ROUNDUP(E936*Controls!$B$4,4)</f>
        <v/>
      </c>
      <c r="G936" s="12">
        <f>F936/E936</f>
        <v/>
      </c>
      <c r="H936" s="10">
        <f>(A936-B936-(D936-1))/(A936-(D936-1))</f>
        <v/>
      </c>
      <c r="I936" s="9">
        <f>A936&amp;'x'&amp;B936</f>
        <v/>
      </c>
      <c r="J936" s="9">
        <f>IF(AND(G936&gt;0.9,G936&lt;1),"OK","CHECK")</f>
        <v/>
      </c>
    </row>
    <row r="937">
      <c r="A937" s="9" t="n">
        <v>36</v>
      </c>
      <c r="B937" s="9" t="n">
        <v>19</v>
      </c>
      <c r="C937" s="9" t="n">
        <v>17</v>
      </c>
      <c r="D937" s="9" t="n">
        <v>1</v>
      </c>
      <c r="E937" s="10">
        <f>COMBIN(A937,D937)/COMBIN(A937-B937,D937)</f>
        <v/>
      </c>
      <c r="F937" s="11">
        <f>ROUNDUP(E937*Controls!$B$4,4)</f>
        <v/>
      </c>
      <c r="G937" s="12">
        <f>F937/E937</f>
        <v/>
      </c>
      <c r="H937" s="10">
        <f>(A937-B937-(D937-1))/(A937-(D937-1))</f>
        <v/>
      </c>
      <c r="I937" s="9">
        <f>A937&amp;'x'&amp;B937</f>
        <v/>
      </c>
      <c r="J937" s="9">
        <f>IF(AND(G937&gt;0.9,G937&lt;1),"OK","CHECK")</f>
        <v/>
      </c>
    </row>
    <row r="938">
      <c r="A938" s="9" t="n">
        <v>36</v>
      </c>
      <c r="B938" s="9" t="n">
        <v>19</v>
      </c>
      <c r="C938" s="9" t="n">
        <v>17</v>
      </c>
      <c r="D938" s="9" t="n">
        <v>2</v>
      </c>
      <c r="E938" s="10">
        <f>COMBIN(A938,D938)/COMBIN(A938-B938,D938)</f>
        <v/>
      </c>
      <c r="F938" s="11">
        <f>ROUNDUP(E938*Controls!$B$4,4)</f>
        <v/>
      </c>
      <c r="G938" s="12">
        <f>F938/E938</f>
        <v/>
      </c>
      <c r="H938" s="10">
        <f>(A938-B938-(D938-1))/(A938-(D938-1))</f>
        <v/>
      </c>
      <c r="I938" s="9">
        <f>A938&amp;'x'&amp;B938</f>
        <v/>
      </c>
      <c r="J938" s="9">
        <f>IF(AND(G938&gt;0.9,G938&lt;1),"OK","CHECK")</f>
        <v/>
      </c>
    </row>
    <row r="939">
      <c r="A939" s="9" t="n">
        <v>36</v>
      </c>
      <c r="B939" s="9" t="n">
        <v>19</v>
      </c>
      <c r="C939" s="9" t="n">
        <v>17</v>
      </c>
      <c r="D939" s="9" t="n">
        <v>3</v>
      </c>
      <c r="E939" s="10">
        <f>COMBIN(A939,D939)/COMBIN(A939-B939,D939)</f>
        <v/>
      </c>
      <c r="F939" s="11">
        <f>ROUNDUP(E939*Controls!$B$4,4)</f>
        <v/>
      </c>
      <c r="G939" s="12">
        <f>F939/E939</f>
        <v/>
      </c>
      <c r="H939" s="10">
        <f>(A939-B939-(D939-1))/(A939-(D939-1))</f>
        <v/>
      </c>
      <c r="I939" s="9">
        <f>A939&amp;'x'&amp;B939</f>
        <v/>
      </c>
      <c r="J939" s="9">
        <f>IF(AND(G939&gt;0.9,G939&lt;1),"OK","CHECK")</f>
        <v/>
      </c>
    </row>
    <row r="940">
      <c r="A940" s="9" t="n">
        <v>36</v>
      </c>
      <c r="B940" s="9" t="n">
        <v>19</v>
      </c>
      <c r="C940" s="9" t="n">
        <v>17</v>
      </c>
      <c r="D940" s="9" t="n">
        <v>4</v>
      </c>
      <c r="E940" s="10">
        <f>COMBIN(A940,D940)/COMBIN(A940-B940,D940)</f>
        <v/>
      </c>
      <c r="F940" s="11">
        <f>ROUNDUP(E940*Controls!$B$4,4)</f>
        <v/>
      </c>
      <c r="G940" s="12">
        <f>F940/E940</f>
        <v/>
      </c>
      <c r="H940" s="10">
        <f>(A940-B940-(D940-1))/(A940-(D940-1))</f>
        <v/>
      </c>
      <c r="I940" s="9">
        <f>A940&amp;'x'&amp;B940</f>
        <v/>
      </c>
      <c r="J940" s="9">
        <f>IF(AND(G940&gt;0.9,G940&lt;1),"OK","CHECK")</f>
        <v/>
      </c>
    </row>
    <row r="941">
      <c r="A941" s="9" t="n">
        <v>36</v>
      </c>
      <c r="B941" s="9" t="n">
        <v>19</v>
      </c>
      <c r="C941" s="9" t="n">
        <v>17</v>
      </c>
      <c r="D941" s="9" t="n">
        <v>5</v>
      </c>
      <c r="E941" s="10">
        <f>COMBIN(A941,D941)/COMBIN(A941-B941,D941)</f>
        <v/>
      </c>
      <c r="F941" s="11">
        <f>ROUNDUP(E941*Controls!$B$4,4)</f>
        <v/>
      </c>
      <c r="G941" s="12">
        <f>F941/E941</f>
        <v/>
      </c>
      <c r="H941" s="10">
        <f>(A941-B941-(D941-1))/(A941-(D941-1))</f>
        <v/>
      </c>
      <c r="I941" s="9">
        <f>A941&amp;'x'&amp;B941</f>
        <v/>
      </c>
      <c r="J941" s="9">
        <f>IF(AND(G941&gt;0.9,G941&lt;1),"OK","CHECK")</f>
        <v/>
      </c>
    </row>
    <row r="942">
      <c r="A942" s="9" t="n">
        <v>36</v>
      </c>
      <c r="B942" s="9" t="n">
        <v>19</v>
      </c>
      <c r="C942" s="9" t="n">
        <v>17</v>
      </c>
      <c r="D942" s="9" t="n">
        <v>6</v>
      </c>
      <c r="E942" s="10">
        <f>COMBIN(A942,D942)/COMBIN(A942-B942,D942)</f>
        <v/>
      </c>
      <c r="F942" s="11">
        <f>ROUNDUP(E942*Controls!$B$4,4)</f>
        <v/>
      </c>
      <c r="G942" s="12">
        <f>F942/E942</f>
        <v/>
      </c>
      <c r="H942" s="10">
        <f>(A942-B942-(D942-1))/(A942-(D942-1))</f>
        <v/>
      </c>
      <c r="I942" s="9">
        <f>A942&amp;'x'&amp;B942</f>
        <v/>
      </c>
      <c r="J942" s="9">
        <f>IF(AND(G942&gt;0.9,G942&lt;1),"OK","CHECK")</f>
        <v/>
      </c>
    </row>
    <row r="943">
      <c r="A943" s="9" t="n">
        <v>36</v>
      </c>
      <c r="B943" s="9" t="n">
        <v>19</v>
      </c>
      <c r="C943" s="9" t="n">
        <v>17</v>
      </c>
      <c r="D943" s="9" t="n">
        <v>7</v>
      </c>
      <c r="E943" s="10">
        <f>COMBIN(A943,D943)/COMBIN(A943-B943,D943)</f>
        <v/>
      </c>
      <c r="F943" s="11">
        <f>ROUNDUP(E943*Controls!$B$4,4)</f>
        <v/>
      </c>
      <c r="G943" s="12">
        <f>F943/E943</f>
        <v/>
      </c>
      <c r="H943" s="10">
        <f>(A943-B943-(D943-1))/(A943-(D943-1))</f>
        <v/>
      </c>
      <c r="I943" s="9">
        <f>A943&amp;'x'&amp;B943</f>
        <v/>
      </c>
      <c r="J943" s="9">
        <f>IF(AND(G943&gt;0.9,G943&lt;1),"OK","CHECK")</f>
        <v/>
      </c>
    </row>
    <row r="944">
      <c r="A944" s="9" t="n">
        <v>36</v>
      </c>
      <c r="B944" s="9" t="n">
        <v>19</v>
      </c>
      <c r="C944" s="9" t="n">
        <v>17</v>
      </c>
      <c r="D944" s="9" t="n">
        <v>8</v>
      </c>
      <c r="E944" s="10">
        <f>COMBIN(A944,D944)/COMBIN(A944-B944,D944)</f>
        <v/>
      </c>
      <c r="F944" s="11">
        <f>ROUNDUP(E944*Controls!$B$4,4)</f>
        <v/>
      </c>
      <c r="G944" s="12">
        <f>F944/E944</f>
        <v/>
      </c>
      <c r="H944" s="10">
        <f>(A944-B944-(D944-1))/(A944-(D944-1))</f>
        <v/>
      </c>
      <c r="I944" s="9">
        <f>A944&amp;'x'&amp;B944</f>
        <v/>
      </c>
      <c r="J944" s="9">
        <f>IF(AND(G944&gt;0.9,G944&lt;1),"OK","CHECK")</f>
        <v/>
      </c>
    </row>
    <row r="945">
      <c r="A945" s="9" t="n">
        <v>36</v>
      </c>
      <c r="B945" s="9" t="n">
        <v>19</v>
      </c>
      <c r="C945" s="9" t="n">
        <v>17</v>
      </c>
      <c r="D945" s="9" t="n">
        <v>9</v>
      </c>
      <c r="E945" s="10">
        <f>COMBIN(A945,D945)/COMBIN(A945-B945,D945)</f>
        <v/>
      </c>
      <c r="F945" s="11">
        <f>ROUNDUP(E945*Controls!$B$4,4)</f>
        <v/>
      </c>
      <c r="G945" s="12">
        <f>F945/E945</f>
        <v/>
      </c>
      <c r="H945" s="10">
        <f>(A945-B945-(D945-1))/(A945-(D945-1))</f>
        <v/>
      </c>
      <c r="I945" s="9">
        <f>A945&amp;'x'&amp;B945</f>
        <v/>
      </c>
      <c r="J945" s="9">
        <f>IF(AND(G945&gt;0.9,G945&lt;1),"OK","CHECK")</f>
        <v/>
      </c>
    </row>
    <row r="946">
      <c r="A946" s="9" t="n">
        <v>36</v>
      </c>
      <c r="B946" s="9" t="n">
        <v>19</v>
      </c>
      <c r="C946" s="9" t="n">
        <v>17</v>
      </c>
      <c r="D946" s="9" t="n">
        <v>10</v>
      </c>
      <c r="E946" s="10">
        <f>COMBIN(A946,D946)/COMBIN(A946-B946,D946)</f>
        <v/>
      </c>
      <c r="F946" s="11">
        <f>ROUNDUP(E946*Controls!$B$4,4)</f>
        <v/>
      </c>
      <c r="G946" s="12">
        <f>F946/E946</f>
        <v/>
      </c>
      <c r="H946" s="10">
        <f>(A946-B946-(D946-1))/(A946-(D946-1))</f>
        <v/>
      </c>
      <c r="I946" s="9">
        <f>A946&amp;'x'&amp;B946</f>
        <v/>
      </c>
      <c r="J946" s="9">
        <f>IF(AND(G946&gt;0.9,G946&lt;1),"OK","CHECK")</f>
        <v/>
      </c>
    </row>
    <row r="947">
      <c r="A947" s="9" t="n">
        <v>36</v>
      </c>
      <c r="B947" s="9" t="n">
        <v>19</v>
      </c>
      <c r="C947" s="9" t="n">
        <v>17</v>
      </c>
      <c r="D947" s="9" t="n">
        <v>11</v>
      </c>
      <c r="E947" s="10">
        <f>COMBIN(A947,D947)/COMBIN(A947-B947,D947)</f>
        <v/>
      </c>
      <c r="F947" s="11">
        <f>ROUNDUP(E947*Controls!$B$4,4)</f>
        <v/>
      </c>
      <c r="G947" s="12">
        <f>F947/E947</f>
        <v/>
      </c>
      <c r="H947" s="10">
        <f>(A947-B947-(D947-1))/(A947-(D947-1))</f>
        <v/>
      </c>
      <c r="I947" s="9">
        <f>A947&amp;'x'&amp;B947</f>
        <v/>
      </c>
      <c r="J947" s="9">
        <f>IF(AND(G947&gt;0.9,G947&lt;1),"OK","CHECK")</f>
        <v/>
      </c>
    </row>
    <row r="948">
      <c r="A948" s="9" t="n">
        <v>36</v>
      </c>
      <c r="B948" s="9" t="n">
        <v>19</v>
      </c>
      <c r="C948" s="9" t="n">
        <v>17</v>
      </c>
      <c r="D948" s="9" t="n">
        <v>12</v>
      </c>
      <c r="E948" s="10">
        <f>COMBIN(A948,D948)/COMBIN(A948-B948,D948)</f>
        <v/>
      </c>
      <c r="F948" s="11">
        <f>ROUNDUP(E948*Controls!$B$4,4)</f>
        <v/>
      </c>
      <c r="G948" s="12">
        <f>F948/E948</f>
        <v/>
      </c>
      <c r="H948" s="10">
        <f>(A948-B948-(D948-1))/(A948-(D948-1))</f>
        <v/>
      </c>
      <c r="I948" s="9">
        <f>A948&amp;'x'&amp;B948</f>
        <v/>
      </c>
      <c r="J948" s="9">
        <f>IF(AND(G948&gt;0.9,G948&lt;1),"OK","CHECK")</f>
        <v/>
      </c>
    </row>
    <row r="949">
      <c r="A949" s="9" t="n">
        <v>36</v>
      </c>
      <c r="B949" s="9" t="n">
        <v>19</v>
      </c>
      <c r="C949" s="9" t="n">
        <v>17</v>
      </c>
      <c r="D949" s="9" t="n">
        <v>13</v>
      </c>
      <c r="E949" s="10">
        <f>COMBIN(A949,D949)/COMBIN(A949-B949,D949)</f>
        <v/>
      </c>
      <c r="F949" s="11">
        <f>ROUNDUP(E949*Controls!$B$4,4)</f>
        <v/>
      </c>
      <c r="G949" s="12">
        <f>F949/E949</f>
        <v/>
      </c>
      <c r="H949" s="10">
        <f>(A949-B949-(D949-1))/(A949-(D949-1))</f>
        <v/>
      </c>
      <c r="I949" s="9">
        <f>A949&amp;'x'&amp;B949</f>
        <v/>
      </c>
      <c r="J949" s="9">
        <f>IF(AND(G949&gt;0.9,G949&lt;1),"OK","CHECK")</f>
        <v/>
      </c>
    </row>
    <row r="950">
      <c r="A950" s="9" t="n">
        <v>36</v>
      </c>
      <c r="B950" s="9" t="n">
        <v>19</v>
      </c>
      <c r="C950" s="9" t="n">
        <v>17</v>
      </c>
      <c r="D950" s="9" t="n">
        <v>14</v>
      </c>
      <c r="E950" s="10">
        <f>COMBIN(A950,D950)/COMBIN(A950-B950,D950)</f>
        <v/>
      </c>
      <c r="F950" s="11">
        <f>ROUNDUP(E950*Controls!$B$4,4)</f>
        <v/>
      </c>
      <c r="G950" s="12">
        <f>F950/E950</f>
        <v/>
      </c>
      <c r="H950" s="10">
        <f>(A950-B950-(D950-1))/(A950-(D950-1))</f>
        <v/>
      </c>
      <c r="I950" s="9">
        <f>A950&amp;'x'&amp;B950</f>
        <v/>
      </c>
      <c r="J950" s="9">
        <f>IF(AND(G950&gt;0.9,G950&lt;1),"OK","CHECK")</f>
        <v/>
      </c>
    </row>
    <row r="951">
      <c r="A951" s="9" t="n">
        <v>36</v>
      </c>
      <c r="B951" s="9" t="n">
        <v>19</v>
      </c>
      <c r="C951" s="9" t="n">
        <v>17</v>
      </c>
      <c r="D951" s="9" t="n">
        <v>15</v>
      </c>
      <c r="E951" s="10">
        <f>COMBIN(A951,D951)/COMBIN(A951-B951,D951)</f>
        <v/>
      </c>
      <c r="F951" s="11">
        <f>ROUNDUP(E951*Controls!$B$4,4)</f>
        <v/>
      </c>
      <c r="G951" s="12">
        <f>F951/E951</f>
        <v/>
      </c>
      <c r="H951" s="10">
        <f>(A951-B951-(D951-1))/(A951-(D951-1))</f>
        <v/>
      </c>
      <c r="I951" s="9">
        <f>A951&amp;'x'&amp;B951</f>
        <v/>
      </c>
      <c r="J951" s="9">
        <f>IF(AND(G951&gt;0.9,G951&lt;1),"OK","CHECK")</f>
        <v/>
      </c>
    </row>
    <row r="952">
      <c r="A952" s="9" t="n">
        <v>36</v>
      </c>
      <c r="B952" s="9" t="n">
        <v>19</v>
      </c>
      <c r="C952" s="9" t="n">
        <v>17</v>
      </c>
      <c r="D952" s="9" t="n">
        <v>16</v>
      </c>
      <c r="E952" s="10">
        <f>COMBIN(A952,D952)/COMBIN(A952-B952,D952)</f>
        <v/>
      </c>
      <c r="F952" s="11">
        <f>ROUNDUP(E952*Controls!$B$4,4)</f>
        <v/>
      </c>
      <c r="G952" s="12">
        <f>F952/E952</f>
        <v/>
      </c>
      <c r="H952" s="10">
        <f>(A952-B952-(D952-1))/(A952-(D952-1))</f>
        <v/>
      </c>
      <c r="I952" s="9">
        <f>A952&amp;'x'&amp;B952</f>
        <v/>
      </c>
      <c r="J952" s="9">
        <f>IF(AND(G952&gt;0.9,G952&lt;1),"OK","CHECK")</f>
        <v/>
      </c>
    </row>
    <row r="953">
      <c r="A953" s="9" t="n">
        <v>36</v>
      </c>
      <c r="B953" s="9" t="n">
        <v>19</v>
      </c>
      <c r="C953" s="9" t="n">
        <v>17</v>
      </c>
      <c r="D953" s="9" t="n">
        <v>17</v>
      </c>
      <c r="E953" s="10">
        <f>COMBIN(A953,D953)/COMBIN(A953-B953,D953)</f>
        <v/>
      </c>
      <c r="F953" s="11">
        <f>ROUNDUP(E953*Controls!$B$4,4)</f>
        <v/>
      </c>
      <c r="G953" s="12">
        <f>F953/E953</f>
        <v/>
      </c>
      <c r="H953" s="10">
        <f>(A953-B953-(D953-1))/(A953-(D953-1))</f>
        <v/>
      </c>
      <c r="I953" s="9">
        <f>A953&amp;'x'&amp;B953</f>
        <v/>
      </c>
      <c r="J953" s="9">
        <f>IF(AND(G953&gt;0.9,G953&lt;1),"OK","CHECK")</f>
        <v/>
      </c>
    </row>
    <row r="954">
      <c r="A954" s="9" t="n">
        <v>36</v>
      </c>
      <c r="B954" s="9" t="n">
        <v>20</v>
      </c>
      <c r="C954" s="9" t="n">
        <v>16</v>
      </c>
      <c r="D954" s="9" t="n">
        <v>1</v>
      </c>
      <c r="E954" s="10">
        <f>COMBIN(A954,D954)/COMBIN(A954-B954,D954)</f>
        <v/>
      </c>
      <c r="F954" s="11">
        <f>ROUNDUP(E954*Controls!$B$4,4)</f>
        <v/>
      </c>
      <c r="G954" s="12">
        <f>F954/E954</f>
        <v/>
      </c>
      <c r="H954" s="10">
        <f>(A954-B954-(D954-1))/(A954-(D954-1))</f>
        <v/>
      </c>
      <c r="I954" s="9">
        <f>A954&amp;'x'&amp;B954</f>
        <v/>
      </c>
      <c r="J954" s="9">
        <f>IF(AND(G954&gt;0.9,G954&lt;1),"OK","CHECK")</f>
        <v/>
      </c>
    </row>
    <row r="955">
      <c r="A955" s="9" t="n">
        <v>36</v>
      </c>
      <c r="B955" s="9" t="n">
        <v>20</v>
      </c>
      <c r="C955" s="9" t="n">
        <v>16</v>
      </c>
      <c r="D955" s="9" t="n">
        <v>2</v>
      </c>
      <c r="E955" s="10">
        <f>COMBIN(A955,D955)/COMBIN(A955-B955,D955)</f>
        <v/>
      </c>
      <c r="F955" s="11">
        <f>ROUNDUP(E955*Controls!$B$4,4)</f>
        <v/>
      </c>
      <c r="G955" s="12">
        <f>F955/E955</f>
        <v/>
      </c>
      <c r="H955" s="10">
        <f>(A955-B955-(D955-1))/(A955-(D955-1))</f>
        <v/>
      </c>
      <c r="I955" s="9">
        <f>A955&amp;'x'&amp;B955</f>
        <v/>
      </c>
      <c r="J955" s="9">
        <f>IF(AND(G955&gt;0.9,G955&lt;1),"OK","CHECK")</f>
        <v/>
      </c>
    </row>
    <row r="956">
      <c r="A956" s="9" t="n">
        <v>36</v>
      </c>
      <c r="B956" s="9" t="n">
        <v>20</v>
      </c>
      <c r="C956" s="9" t="n">
        <v>16</v>
      </c>
      <c r="D956" s="9" t="n">
        <v>3</v>
      </c>
      <c r="E956" s="10">
        <f>COMBIN(A956,D956)/COMBIN(A956-B956,D956)</f>
        <v/>
      </c>
      <c r="F956" s="11">
        <f>ROUNDUP(E956*Controls!$B$4,4)</f>
        <v/>
      </c>
      <c r="G956" s="12">
        <f>F956/E956</f>
        <v/>
      </c>
      <c r="H956" s="10">
        <f>(A956-B956-(D956-1))/(A956-(D956-1))</f>
        <v/>
      </c>
      <c r="I956" s="9">
        <f>A956&amp;'x'&amp;B956</f>
        <v/>
      </c>
      <c r="J956" s="9">
        <f>IF(AND(G956&gt;0.9,G956&lt;1),"OK","CHECK")</f>
        <v/>
      </c>
    </row>
    <row r="957">
      <c r="A957" s="9" t="n">
        <v>36</v>
      </c>
      <c r="B957" s="9" t="n">
        <v>20</v>
      </c>
      <c r="C957" s="9" t="n">
        <v>16</v>
      </c>
      <c r="D957" s="9" t="n">
        <v>4</v>
      </c>
      <c r="E957" s="10">
        <f>COMBIN(A957,D957)/COMBIN(A957-B957,D957)</f>
        <v/>
      </c>
      <c r="F957" s="11">
        <f>ROUNDUP(E957*Controls!$B$4,4)</f>
        <v/>
      </c>
      <c r="G957" s="12">
        <f>F957/E957</f>
        <v/>
      </c>
      <c r="H957" s="10">
        <f>(A957-B957-(D957-1))/(A957-(D957-1))</f>
        <v/>
      </c>
      <c r="I957" s="9">
        <f>A957&amp;'x'&amp;B957</f>
        <v/>
      </c>
      <c r="J957" s="9">
        <f>IF(AND(G957&gt;0.9,G957&lt;1),"OK","CHECK")</f>
        <v/>
      </c>
    </row>
    <row r="958">
      <c r="A958" s="9" t="n">
        <v>36</v>
      </c>
      <c r="B958" s="9" t="n">
        <v>20</v>
      </c>
      <c r="C958" s="9" t="n">
        <v>16</v>
      </c>
      <c r="D958" s="9" t="n">
        <v>5</v>
      </c>
      <c r="E958" s="10">
        <f>COMBIN(A958,D958)/COMBIN(A958-B958,D958)</f>
        <v/>
      </c>
      <c r="F958" s="11">
        <f>ROUNDUP(E958*Controls!$B$4,4)</f>
        <v/>
      </c>
      <c r="G958" s="12">
        <f>F958/E958</f>
        <v/>
      </c>
      <c r="H958" s="10">
        <f>(A958-B958-(D958-1))/(A958-(D958-1))</f>
        <v/>
      </c>
      <c r="I958" s="9">
        <f>A958&amp;'x'&amp;B958</f>
        <v/>
      </c>
      <c r="J958" s="9">
        <f>IF(AND(G958&gt;0.9,G958&lt;1),"OK","CHECK")</f>
        <v/>
      </c>
    </row>
    <row r="959">
      <c r="A959" s="9" t="n">
        <v>36</v>
      </c>
      <c r="B959" s="9" t="n">
        <v>20</v>
      </c>
      <c r="C959" s="9" t="n">
        <v>16</v>
      </c>
      <c r="D959" s="9" t="n">
        <v>6</v>
      </c>
      <c r="E959" s="10">
        <f>COMBIN(A959,D959)/COMBIN(A959-B959,D959)</f>
        <v/>
      </c>
      <c r="F959" s="11">
        <f>ROUNDUP(E959*Controls!$B$4,4)</f>
        <v/>
      </c>
      <c r="G959" s="12">
        <f>F959/E959</f>
        <v/>
      </c>
      <c r="H959" s="10">
        <f>(A959-B959-(D959-1))/(A959-(D959-1))</f>
        <v/>
      </c>
      <c r="I959" s="9">
        <f>A959&amp;'x'&amp;B959</f>
        <v/>
      </c>
      <c r="J959" s="9">
        <f>IF(AND(G959&gt;0.9,G959&lt;1),"OK","CHECK")</f>
        <v/>
      </c>
    </row>
    <row r="960">
      <c r="A960" s="9" t="n">
        <v>36</v>
      </c>
      <c r="B960" s="9" t="n">
        <v>20</v>
      </c>
      <c r="C960" s="9" t="n">
        <v>16</v>
      </c>
      <c r="D960" s="9" t="n">
        <v>7</v>
      </c>
      <c r="E960" s="10">
        <f>COMBIN(A960,D960)/COMBIN(A960-B960,D960)</f>
        <v/>
      </c>
      <c r="F960" s="11">
        <f>ROUNDUP(E960*Controls!$B$4,4)</f>
        <v/>
      </c>
      <c r="G960" s="12">
        <f>F960/E960</f>
        <v/>
      </c>
      <c r="H960" s="10">
        <f>(A960-B960-(D960-1))/(A960-(D960-1))</f>
        <v/>
      </c>
      <c r="I960" s="9">
        <f>A960&amp;'x'&amp;B960</f>
        <v/>
      </c>
      <c r="J960" s="9">
        <f>IF(AND(G960&gt;0.9,G960&lt;1),"OK","CHECK")</f>
        <v/>
      </c>
    </row>
    <row r="961">
      <c r="A961" s="9" t="n">
        <v>36</v>
      </c>
      <c r="B961" s="9" t="n">
        <v>20</v>
      </c>
      <c r="C961" s="9" t="n">
        <v>16</v>
      </c>
      <c r="D961" s="9" t="n">
        <v>8</v>
      </c>
      <c r="E961" s="10">
        <f>COMBIN(A961,D961)/COMBIN(A961-B961,D961)</f>
        <v/>
      </c>
      <c r="F961" s="11">
        <f>ROUNDUP(E961*Controls!$B$4,4)</f>
        <v/>
      </c>
      <c r="G961" s="12">
        <f>F961/E961</f>
        <v/>
      </c>
      <c r="H961" s="10">
        <f>(A961-B961-(D961-1))/(A961-(D961-1))</f>
        <v/>
      </c>
      <c r="I961" s="9">
        <f>A961&amp;'x'&amp;B961</f>
        <v/>
      </c>
      <c r="J961" s="9">
        <f>IF(AND(G961&gt;0.9,G961&lt;1),"OK","CHECK")</f>
        <v/>
      </c>
    </row>
    <row r="962">
      <c r="A962" s="9" t="n">
        <v>36</v>
      </c>
      <c r="B962" s="9" t="n">
        <v>20</v>
      </c>
      <c r="C962" s="9" t="n">
        <v>16</v>
      </c>
      <c r="D962" s="9" t="n">
        <v>9</v>
      </c>
      <c r="E962" s="10">
        <f>COMBIN(A962,D962)/COMBIN(A962-B962,D962)</f>
        <v/>
      </c>
      <c r="F962" s="11">
        <f>ROUNDUP(E962*Controls!$B$4,4)</f>
        <v/>
      </c>
      <c r="G962" s="12">
        <f>F962/E962</f>
        <v/>
      </c>
      <c r="H962" s="10">
        <f>(A962-B962-(D962-1))/(A962-(D962-1))</f>
        <v/>
      </c>
      <c r="I962" s="9">
        <f>A962&amp;'x'&amp;B962</f>
        <v/>
      </c>
      <c r="J962" s="9">
        <f>IF(AND(G962&gt;0.9,G962&lt;1),"OK","CHECK")</f>
        <v/>
      </c>
    </row>
    <row r="963">
      <c r="A963" s="9" t="n">
        <v>36</v>
      </c>
      <c r="B963" s="9" t="n">
        <v>20</v>
      </c>
      <c r="C963" s="9" t="n">
        <v>16</v>
      </c>
      <c r="D963" s="9" t="n">
        <v>10</v>
      </c>
      <c r="E963" s="10">
        <f>COMBIN(A963,D963)/COMBIN(A963-B963,D963)</f>
        <v/>
      </c>
      <c r="F963" s="11">
        <f>ROUNDUP(E963*Controls!$B$4,4)</f>
        <v/>
      </c>
      <c r="G963" s="12">
        <f>F963/E963</f>
        <v/>
      </c>
      <c r="H963" s="10">
        <f>(A963-B963-(D963-1))/(A963-(D963-1))</f>
        <v/>
      </c>
      <c r="I963" s="9">
        <f>A963&amp;'x'&amp;B963</f>
        <v/>
      </c>
      <c r="J963" s="9">
        <f>IF(AND(G963&gt;0.9,G963&lt;1),"OK","CHECK")</f>
        <v/>
      </c>
    </row>
    <row r="964">
      <c r="A964" s="9" t="n">
        <v>36</v>
      </c>
      <c r="B964" s="9" t="n">
        <v>20</v>
      </c>
      <c r="C964" s="9" t="n">
        <v>16</v>
      </c>
      <c r="D964" s="9" t="n">
        <v>11</v>
      </c>
      <c r="E964" s="10">
        <f>COMBIN(A964,D964)/COMBIN(A964-B964,D964)</f>
        <v/>
      </c>
      <c r="F964" s="11">
        <f>ROUNDUP(E964*Controls!$B$4,4)</f>
        <v/>
      </c>
      <c r="G964" s="12">
        <f>F964/E964</f>
        <v/>
      </c>
      <c r="H964" s="10">
        <f>(A964-B964-(D964-1))/(A964-(D964-1))</f>
        <v/>
      </c>
      <c r="I964" s="9">
        <f>A964&amp;'x'&amp;B964</f>
        <v/>
      </c>
      <c r="J964" s="9">
        <f>IF(AND(G964&gt;0.9,G964&lt;1),"OK","CHECK")</f>
        <v/>
      </c>
    </row>
    <row r="965">
      <c r="A965" s="9" t="n">
        <v>36</v>
      </c>
      <c r="B965" s="9" t="n">
        <v>20</v>
      </c>
      <c r="C965" s="9" t="n">
        <v>16</v>
      </c>
      <c r="D965" s="9" t="n">
        <v>12</v>
      </c>
      <c r="E965" s="10">
        <f>COMBIN(A965,D965)/COMBIN(A965-B965,D965)</f>
        <v/>
      </c>
      <c r="F965" s="11">
        <f>ROUNDUP(E965*Controls!$B$4,4)</f>
        <v/>
      </c>
      <c r="G965" s="12">
        <f>F965/E965</f>
        <v/>
      </c>
      <c r="H965" s="10">
        <f>(A965-B965-(D965-1))/(A965-(D965-1))</f>
        <v/>
      </c>
      <c r="I965" s="9">
        <f>A965&amp;'x'&amp;B965</f>
        <v/>
      </c>
      <c r="J965" s="9">
        <f>IF(AND(G965&gt;0.9,G965&lt;1),"OK","CHECK")</f>
        <v/>
      </c>
    </row>
    <row r="966">
      <c r="A966" s="9" t="n">
        <v>36</v>
      </c>
      <c r="B966" s="9" t="n">
        <v>20</v>
      </c>
      <c r="C966" s="9" t="n">
        <v>16</v>
      </c>
      <c r="D966" s="9" t="n">
        <v>13</v>
      </c>
      <c r="E966" s="10">
        <f>COMBIN(A966,D966)/COMBIN(A966-B966,D966)</f>
        <v/>
      </c>
      <c r="F966" s="11">
        <f>ROUNDUP(E966*Controls!$B$4,4)</f>
        <v/>
      </c>
      <c r="G966" s="12">
        <f>F966/E966</f>
        <v/>
      </c>
      <c r="H966" s="10">
        <f>(A966-B966-(D966-1))/(A966-(D966-1))</f>
        <v/>
      </c>
      <c r="I966" s="9">
        <f>A966&amp;'x'&amp;B966</f>
        <v/>
      </c>
      <c r="J966" s="9">
        <f>IF(AND(G966&gt;0.9,G966&lt;1),"OK","CHECK")</f>
        <v/>
      </c>
    </row>
    <row r="967">
      <c r="A967" s="9" t="n">
        <v>36</v>
      </c>
      <c r="B967" s="9" t="n">
        <v>20</v>
      </c>
      <c r="C967" s="9" t="n">
        <v>16</v>
      </c>
      <c r="D967" s="9" t="n">
        <v>14</v>
      </c>
      <c r="E967" s="10">
        <f>COMBIN(A967,D967)/COMBIN(A967-B967,D967)</f>
        <v/>
      </c>
      <c r="F967" s="11">
        <f>ROUNDUP(E967*Controls!$B$4,4)</f>
        <v/>
      </c>
      <c r="G967" s="12">
        <f>F967/E967</f>
        <v/>
      </c>
      <c r="H967" s="10">
        <f>(A967-B967-(D967-1))/(A967-(D967-1))</f>
        <v/>
      </c>
      <c r="I967" s="9">
        <f>A967&amp;'x'&amp;B967</f>
        <v/>
      </c>
      <c r="J967" s="9">
        <f>IF(AND(G967&gt;0.9,G967&lt;1),"OK","CHECK")</f>
        <v/>
      </c>
    </row>
    <row r="968">
      <c r="A968" s="9" t="n">
        <v>36</v>
      </c>
      <c r="B968" s="9" t="n">
        <v>20</v>
      </c>
      <c r="C968" s="9" t="n">
        <v>16</v>
      </c>
      <c r="D968" s="9" t="n">
        <v>15</v>
      </c>
      <c r="E968" s="10">
        <f>COMBIN(A968,D968)/COMBIN(A968-B968,D968)</f>
        <v/>
      </c>
      <c r="F968" s="11">
        <f>ROUNDUP(E968*Controls!$B$4,4)</f>
        <v/>
      </c>
      <c r="G968" s="12">
        <f>F968/E968</f>
        <v/>
      </c>
      <c r="H968" s="10">
        <f>(A968-B968-(D968-1))/(A968-(D968-1))</f>
        <v/>
      </c>
      <c r="I968" s="9">
        <f>A968&amp;'x'&amp;B968</f>
        <v/>
      </c>
      <c r="J968" s="9">
        <f>IF(AND(G968&gt;0.9,G968&lt;1),"OK","CHECK")</f>
        <v/>
      </c>
    </row>
    <row r="969">
      <c r="A969" s="9" t="n">
        <v>36</v>
      </c>
      <c r="B969" s="9" t="n">
        <v>20</v>
      </c>
      <c r="C969" s="9" t="n">
        <v>16</v>
      </c>
      <c r="D969" s="9" t="n">
        <v>16</v>
      </c>
      <c r="E969" s="10">
        <f>COMBIN(A969,D969)/COMBIN(A969-B969,D969)</f>
        <v/>
      </c>
      <c r="F969" s="11">
        <f>ROUNDUP(E969*Controls!$B$4,4)</f>
        <v/>
      </c>
      <c r="G969" s="12">
        <f>F969/E969</f>
        <v/>
      </c>
      <c r="H969" s="10">
        <f>(A969-B969-(D969-1))/(A969-(D969-1))</f>
        <v/>
      </c>
      <c r="I969" s="9">
        <f>A969&amp;'x'&amp;B969</f>
        <v/>
      </c>
      <c r="J969" s="9">
        <f>IF(AND(G969&gt;0.9,G969&lt;1),"OK","CHECK")</f>
        <v/>
      </c>
    </row>
    <row r="970">
      <c r="A970" s="9" t="n">
        <v>36</v>
      </c>
      <c r="B970" s="9" t="n">
        <v>21</v>
      </c>
      <c r="C970" s="9" t="n">
        <v>15</v>
      </c>
      <c r="D970" s="9" t="n">
        <v>1</v>
      </c>
      <c r="E970" s="10">
        <f>COMBIN(A970,D970)/COMBIN(A970-B970,D970)</f>
        <v/>
      </c>
      <c r="F970" s="11">
        <f>ROUNDUP(E970*Controls!$B$4,4)</f>
        <v/>
      </c>
      <c r="G970" s="12">
        <f>F970/E970</f>
        <v/>
      </c>
      <c r="H970" s="10">
        <f>(A970-B970-(D970-1))/(A970-(D970-1))</f>
        <v/>
      </c>
      <c r="I970" s="9">
        <f>A970&amp;'x'&amp;B970</f>
        <v/>
      </c>
      <c r="J970" s="9">
        <f>IF(AND(G970&gt;0.9,G970&lt;1),"OK","CHECK")</f>
        <v/>
      </c>
    </row>
    <row r="971">
      <c r="A971" s="9" t="n">
        <v>36</v>
      </c>
      <c r="B971" s="9" t="n">
        <v>21</v>
      </c>
      <c r="C971" s="9" t="n">
        <v>15</v>
      </c>
      <c r="D971" s="9" t="n">
        <v>2</v>
      </c>
      <c r="E971" s="10">
        <f>COMBIN(A971,D971)/COMBIN(A971-B971,D971)</f>
        <v/>
      </c>
      <c r="F971" s="11">
        <f>ROUNDUP(E971*Controls!$B$4,4)</f>
        <v/>
      </c>
      <c r="G971" s="12">
        <f>F971/E971</f>
        <v/>
      </c>
      <c r="H971" s="10">
        <f>(A971-B971-(D971-1))/(A971-(D971-1))</f>
        <v/>
      </c>
      <c r="I971" s="9">
        <f>A971&amp;'x'&amp;B971</f>
        <v/>
      </c>
      <c r="J971" s="9">
        <f>IF(AND(G971&gt;0.9,G971&lt;1),"OK","CHECK")</f>
        <v/>
      </c>
    </row>
    <row r="972">
      <c r="A972" s="9" t="n">
        <v>36</v>
      </c>
      <c r="B972" s="9" t="n">
        <v>21</v>
      </c>
      <c r="C972" s="9" t="n">
        <v>15</v>
      </c>
      <c r="D972" s="9" t="n">
        <v>3</v>
      </c>
      <c r="E972" s="10">
        <f>COMBIN(A972,D972)/COMBIN(A972-B972,D972)</f>
        <v/>
      </c>
      <c r="F972" s="11">
        <f>ROUNDUP(E972*Controls!$B$4,4)</f>
        <v/>
      </c>
      <c r="G972" s="12">
        <f>F972/E972</f>
        <v/>
      </c>
      <c r="H972" s="10">
        <f>(A972-B972-(D972-1))/(A972-(D972-1))</f>
        <v/>
      </c>
      <c r="I972" s="9">
        <f>A972&amp;'x'&amp;B972</f>
        <v/>
      </c>
      <c r="J972" s="9">
        <f>IF(AND(G972&gt;0.9,G972&lt;1),"OK","CHECK")</f>
        <v/>
      </c>
    </row>
    <row r="973">
      <c r="A973" s="9" t="n">
        <v>36</v>
      </c>
      <c r="B973" s="9" t="n">
        <v>21</v>
      </c>
      <c r="C973" s="9" t="n">
        <v>15</v>
      </c>
      <c r="D973" s="9" t="n">
        <v>4</v>
      </c>
      <c r="E973" s="10">
        <f>COMBIN(A973,D973)/COMBIN(A973-B973,D973)</f>
        <v/>
      </c>
      <c r="F973" s="11">
        <f>ROUNDUP(E973*Controls!$B$4,4)</f>
        <v/>
      </c>
      <c r="G973" s="12">
        <f>F973/E973</f>
        <v/>
      </c>
      <c r="H973" s="10">
        <f>(A973-B973-(D973-1))/(A973-(D973-1))</f>
        <v/>
      </c>
      <c r="I973" s="9">
        <f>A973&amp;'x'&amp;B973</f>
        <v/>
      </c>
      <c r="J973" s="9">
        <f>IF(AND(G973&gt;0.9,G973&lt;1),"OK","CHECK")</f>
        <v/>
      </c>
    </row>
    <row r="974">
      <c r="A974" s="9" t="n">
        <v>36</v>
      </c>
      <c r="B974" s="9" t="n">
        <v>21</v>
      </c>
      <c r="C974" s="9" t="n">
        <v>15</v>
      </c>
      <c r="D974" s="9" t="n">
        <v>5</v>
      </c>
      <c r="E974" s="10">
        <f>COMBIN(A974,D974)/COMBIN(A974-B974,D974)</f>
        <v/>
      </c>
      <c r="F974" s="11">
        <f>ROUNDUP(E974*Controls!$B$4,4)</f>
        <v/>
      </c>
      <c r="G974" s="12">
        <f>F974/E974</f>
        <v/>
      </c>
      <c r="H974" s="10">
        <f>(A974-B974-(D974-1))/(A974-(D974-1))</f>
        <v/>
      </c>
      <c r="I974" s="9">
        <f>A974&amp;'x'&amp;B974</f>
        <v/>
      </c>
      <c r="J974" s="9">
        <f>IF(AND(G974&gt;0.9,G974&lt;1),"OK","CHECK")</f>
        <v/>
      </c>
    </row>
    <row r="975">
      <c r="A975" s="9" t="n">
        <v>36</v>
      </c>
      <c r="B975" s="9" t="n">
        <v>21</v>
      </c>
      <c r="C975" s="9" t="n">
        <v>15</v>
      </c>
      <c r="D975" s="9" t="n">
        <v>6</v>
      </c>
      <c r="E975" s="10">
        <f>COMBIN(A975,D975)/COMBIN(A975-B975,D975)</f>
        <v/>
      </c>
      <c r="F975" s="11">
        <f>ROUNDUP(E975*Controls!$B$4,4)</f>
        <v/>
      </c>
      <c r="G975" s="12">
        <f>F975/E975</f>
        <v/>
      </c>
      <c r="H975" s="10">
        <f>(A975-B975-(D975-1))/(A975-(D975-1))</f>
        <v/>
      </c>
      <c r="I975" s="9">
        <f>A975&amp;'x'&amp;B975</f>
        <v/>
      </c>
      <c r="J975" s="9">
        <f>IF(AND(G975&gt;0.9,G975&lt;1),"OK","CHECK")</f>
        <v/>
      </c>
    </row>
    <row r="976">
      <c r="A976" s="9" t="n">
        <v>36</v>
      </c>
      <c r="B976" s="9" t="n">
        <v>21</v>
      </c>
      <c r="C976" s="9" t="n">
        <v>15</v>
      </c>
      <c r="D976" s="9" t="n">
        <v>7</v>
      </c>
      <c r="E976" s="10">
        <f>COMBIN(A976,D976)/COMBIN(A976-B976,D976)</f>
        <v/>
      </c>
      <c r="F976" s="11">
        <f>ROUNDUP(E976*Controls!$B$4,4)</f>
        <v/>
      </c>
      <c r="G976" s="12">
        <f>F976/E976</f>
        <v/>
      </c>
      <c r="H976" s="10">
        <f>(A976-B976-(D976-1))/(A976-(D976-1))</f>
        <v/>
      </c>
      <c r="I976" s="9">
        <f>A976&amp;'x'&amp;B976</f>
        <v/>
      </c>
      <c r="J976" s="9">
        <f>IF(AND(G976&gt;0.9,G976&lt;1),"OK","CHECK")</f>
        <v/>
      </c>
    </row>
    <row r="977">
      <c r="A977" s="9" t="n">
        <v>36</v>
      </c>
      <c r="B977" s="9" t="n">
        <v>21</v>
      </c>
      <c r="C977" s="9" t="n">
        <v>15</v>
      </c>
      <c r="D977" s="9" t="n">
        <v>8</v>
      </c>
      <c r="E977" s="10">
        <f>COMBIN(A977,D977)/COMBIN(A977-B977,D977)</f>
        <v/>
      </c>
      <c r="F977" s="11">
        <f>ROUNDUP(E977*Controls!$B$4,4)</f>
        <v/>
      </c>
      <c r="G977" s="12">
        <f>F977/E977</f>
        <v/>
      </c>
      <c r="H977" s="10">
        <f>(A977-B977-(D977-1))/(A977-(D977-1))</f>
        <v/>
      </c>
      <c r="I977" s="9">
        <f>A977&amp;'x'&amp;B977</f>
        <v/>
      </c>
      <c r="J977" s="9">
        <f>IF(AND(G977&gt;0.9,G977&lt;1),"OK","CHECK")</f>
        <v/>
      </c>
    </row>
    <row r="978">
      <c r="A978" s="9" t="n">
        <v>36</v>
      </c>
      <c r="B978" s="9" t="n">
        <v>21</v>
      </c>
      <c r="C978" s="9" t="n">
        <v>15</v>
      </c>
      <c r="D978" s="9" t="n">
        <v>9</v>
      </c>
      <c r="E978" s="10">
        <f>COMBIN(A978,D978)/COMBIN(A978-B978,D978)</f>
        <v/>
      </c>
      <c r="F978" s="11">
        <f>ROUNDUP(E978*Controls!$B$4,4)</f>
        <v/>
      </c>
      <c r="G978" s="12">
        <f>F978/E978</f>
        <v/>
      </c>
      <c r="H978" s="10">
        <f>(A978-B978-(D978-1))/(A978-(D978-1))</f>
        <v/>
      </c>
      <c r="I978" s="9">
        <f>A978&amp;'x'&amp;B978</f>
        <v/>
      </c>
      <c r="J978" s="9">
        <f>IF(AND(G978&gt;0.9,G978&lt;1),"OK","CHECK")</f>
        <v/>
      </c>
    </row>
    <row r="979">
      <c r="A979" s="9" t="n">
        <v>36</v>
      </c>
      <c r="B979" s="9" t="n">
        <v>21</v>
      </c>
      <c r="C979" s="9" t="n">
        <v>15</v>
      </c>
      <c r="D979" s="9" t="n">
        <v>10</v>
      </c>
      <c r="E979" s="10">
        <f>COMBIN(A979,D979)/COMBIN(A979-B979,D979)</f>
        <v/>
      </c>
      <c r="F979" s="11">
        <f>ROUNDUP(E979*Controls!$B$4,4)</f>
        <v/>
      </c>
      <c r="G979" s="12">
        <f>F979/E979</f>
        <v/>
      </c>
      <c r="H979" s="10">
        <f>(A979-B979-(D979-1))/(A979-(D979-1))</f>
        <v/>
      </c>
      <c r="I979" s="9">
        <f>A979&amp;'x'&amp;B979</f>
        <v/>
      </c>
      <c r="J979" s="9">
        <f>IF(AND(G979&gt;0.9,G979&lt;1),"OK","CHECK")</f>
        <v/>
      </c>
    </row>
    <row r="980">
      <c r="A980" s="9" t="n">
        <v>36</v>
      </c>
      <c r="B980" s="9" t="n">
        <v>21</v>
      </c>
      <c r="C980" s="9" t="n">
        <v>15</v>
      </c>
      <c r="D980" s="9" t="n">
        <v>11</v>
      </c>
      <c r="E980" s="10">
        <f>COMBIN(A980,D980)/COMBIN(A980-B980,D980)</f>
        <v/>
      </c>
      <c r="F980" s="11">
        <f>ROUNDUP(E980*Controls!$B$4,4)</f>
        <v/>
      </c>
      <c r="G980" s="12">
        <f>F980/E980</f>
        <v/>
      </c>
      <c r="H980" s="10">
        <f>(A980-B980-(D980-1))/(A980-(D980-1))</f>
        <v/>
      </c>
      <c r="I980" s="9">
        <f>A980&amp;'x'&amp;B980</f>
        <v/>
      </c>
      <c r="J980" s="9">
        <f>IF(AND(G980&gt;0.9,G980&lt;1),"OK","CHECK")</f>
        <v/>
      </c>
    </row>
    <row r="981">
      <c r="A981" s="9" t="n">
        <v>36</v>
      </c>
      <c r="B981" s="9" t="n">
        <v>21</v>
      </c>
      <c r="C981" s="9" t="n">
        <v>15</v>
      </c>
      <c r="D981" s="9" t="n">
        <v>12</v>
      </c>
      <c r="E981" s="10">
        <f>COMBIN(A981,D981)/COMBIN(A981-B981,D981)</f>
        <v/>
      </c>
      <c r="F981" s="11">
        <f>ROUNDUP(E981*Controls!$B$4,4)</f>
        <v/>
      </c>
      <c r="G981" s="12">
        <f>F981/E981</f>
        <v/>
      </c>
      <c r="H981" s="10">
        <f>(A981-B981-(D981-1))/(A981-(D981-1))</f>
        <v/>
      </c>
      <c r="I981" s="9">
        <f>A981&amp;'x'&amp;B981</f>
        <v/>
      </c>
      <c r="J981" s="9">
        <f>IF(AND(G981&gt;0.9,G981&lt;1),"OK","CHECK")</f>
        <v/>
      </c>
    </row>
    <row r="982">
      <c r="A982" s="9" t="n">
        <v>36</v>
      </c>
      <c r="B982" s="9" t="n">
        <v>21</v>
      </c>
      <c r="C982" s="9" t="n">
        <v>15</v>
      </c>
      <c r="D982" s="9" t="n">
        <v>13</v>
      </c>
      <c r="E982" s="10">
        <f>COMBIN(A982,D982)/COMBIN(A982-B982,D982)</f>
        <v/>
      </c>
      <c r="F982" s="11">
        <f>ROUNDUP(E982*Controls!$B$4,4)</f>
        <v/>
      </c>
      <c r="G982" s="12">
        <f>F982/E982</f>
        <v/>
      </c>
      <c r="H982" s="10">
        <f>(A982-B982-(D982-1))/(A982-(D982-1))</f>
        <v/>
      </c>
      <c r="I982" s="9">
        <f>A982&amp;'x'&amp;B982</f>
        <v/>
      </c>
      <c r="J982" s="9">
        <f>IF(AND(G982&gt;0.9,G982&lt;1),"OK","CHECK")</f>
        <v/>
      </c>
    </row>
    <row r="983">
      <c r="A983" s="9" t="n">
        <v>36</v>
      </c>
      <c r="B983" s="9" t="n">
        <v>21</v>
      </c>
      <c r="C983" s="9" t="n">
        <v>15</v>
      </c>
      <c r="D983" s="9" t="n">
        <v>14</v>
      </c>
      <c r="E983" s="10">
        <f>COMBIN(A983,D983)/COMBIN(A983-B983,D983)</f>
        <v/>
      </c>
      <c r="F983" s="11">
        <f>ROUNDUP(E983*Controls!$B$4,4)</f>
        <v/>
      </c>
      <c r="G983" s="12">
        <f>F983/E983</f>
        <v/>
      </c>
      <c r="H983" s="10">
        <f>(A983-B983-(D983-1))/(A983-(D983-1))</f>
        <v/>
      </c>
      <c r="I983" s="9">
        <f>A983&amp;'x'&amp;B983</f>
        <v/>
      </c>
      <c r="J983" s="9">
        <f>IF(AND(G983&gt;0.9,G983&lt;1),"OK","CHECK")</f>
        <v/>
      </c>
    </row>
    <row r="984">
      <c r="A984" s="9" t="n">
        <v>36</v>
      </c>
      <c r="B984" s="9" t="n">
        <v>21</v>
      </c>
      <c r="C984" s="9" t="n">
        <v>15</v>
      </c>
      <c r="D984" s="9" t="n">
        <v>15</v>
      </c>
      <c r="E984" s="10">
        <f>COMBIN(A984,D984)/COMBIN(A984-B984,D984)</f>
        <v/>
      </c>
      <c r="F984" s="11">
        <f>ROUNDUP(E984*Controls!$B$4,4)</f>
        <v/>
      </c>
      <c r="G984" s="12">
        <f>F984/E984</f>
        <v/>
      </c>
      <c r="H984" s="10">
        <f>(A984-B984-(D984-1))/(A984-(D984-1))</f>
        <v/>
      </c>
      <c r="I984" s="9">
        <f>A984&amp;'x'&amp;B984</f>
        <v/>
      </c>
      <c r="J984" s="9">
        <f>IF(AND(G984&gt;0.9,G984&lt;1),"OK","CHECK")</f>
        <v/>
      </c>
    </row>
    <row r="985">
      <c r="A985" s="9" t="n">
        <v>36</v>
      </c>
      <c r="B985" s="9" t="n">
        <v>22</v>
      </c>
      <c r="C985" s="9" t="n">
        <v>14</v>
      </c>
      <c r="D985" s="9" t="n">
        <v>1</v>
      </c>
      <c r="E985" s="10">
        <f>COMBIN(A985,D985)/COMBIN(A985-B985,D985)</f>
        <v/>
      </c>
      <c r="F985" s="11">
        <f>ROUNDUP(E985*Controls!$B$4,4)</f>
        <v/>
      </c>
      <c r="G985" s="12">
        <f>F985/E985</f>
        <v/>
      </c>
      <c r="H985" s="10">
        <f>(A985-B985-(D985-1))/(A985-(D985-1))</f>
        <v/>
      </c>
      <c r="I985" s="9">
        <f>A985&amp;'x'&amp;B985</f>
        <v/>
      </c>
      <c r="J985" s="9">
        <f>IF(AND(G985&gt;0.9,G985&lt;1),"OK","CHECK")</f>
        <v/>
      </c>
    </row>
    <row r="986">
      <c r="A986" s="9" t="n">
        <v>36</v>
      </c>
      <c r="B986" s="9" t="n">
        <v>22</v>
      </c>
      <c r="C986" s="9" t="n">
        <v>14</v>
      </c>
      <c r="D986" s="9" t="n">
        <v>2</v>
      </c>
      <c r="E986" s="10">
        <f>COMBIN(A986,D986)/COMBIN(A986-B986,D986)</f>
        <v/>
      </c>
      <c r="F986" s="11">
        <f>ROUNDUP(E986*Controls!$B$4,4)</f>
        <v/>
      </c>
      <c r="G986" s="12">
        <f>F986/E986</f>
        <v/>
      </c>
      <c r="H986" s="10">
        <f>(A986-B986-(D986-1))/(A986-(D986-1))</f>
        <v/>
      </c>
      <c r="I986" s="9">
        <f>A986&amp;'x'&amp;B986</f>
        <v/>
      </c>
      <c r="J986" s="9">
        <f>IF(AND(G986&gt;0.9,G986&lt;1),"OK","CHECK")</f>
        <v/>
      </c>
    </row>
    <row r="987">
      <c r="A987" s="9" t="n">
        <v>36</v>
      </c>
      <c r="B987" s="9" t="n">
        <v>22</v>
      </c>
      <c r="C987" s="9" t="n">
        <v>14</v>
      </c>
      <c r="D987" s="9" t="n">
        <v>3</v>
      </c>
      <c r="E987" s="10">
        <f>COMBIN(A987,D987)/COMBIN(A987-B987,D987)</f>
        <v/>
      </c>
      <c r="F987" s="11">
        <f>ROUNDUP(E987*Controls!$B$4,4)</f>
        <v/>
      </c>
      <c r="G987" s="12">
        <f>F987/E987</f>
        <v/>
      </c>
      <c r="H987" s="10">
        <f>(A987-B987-(D987-1))/(A987-(D987-1))</f>
        <v/>
      </c>
      <c r="I987" s="9">
        <f>A987&amp;'x'&amp;B987</f>
        <v/>
      </c>
      <c r="J987" s="9">
        <f>IF(AND(G987&gt;0.9,G987&lt;1),"OK","CHECK")</f>
        <v/>
      </c>
    </row>
    <row r="988">
      <c r="A988" s="9" t="n">
        <v>36</v>
      </c>
      <c r="B988" s="9" t="n">
        <v>22</v>
      </c>
      <c r="C988" s="9" t="n">
        <v>14</v>
      </c>
      <c r="D988" s="9" t="n">
        <v>4</v>
      </c>
      <c r="E988" s="10">
        <f>COMBIN(A988,D988)/COMBIN(A988-B988,D988)</f>
        <v/>
      </c>
      <c r="F988" s="11">
        <f>ROUNDUP(E988*Controls!$B$4,4)</f>
        <v/>
      </c>
      <c r="G988" s="12">
        <f>F988/E988</f>
        <v/>
      </c>
      <c r="H988" s="10">
        <f>(A988-B988-(D988-1))/(A988-(D988-1))</f>
        <v/>
      </c>
      <c r="I988" s="9">
        <f>A988&amp;'x'&amp;B988</f>
        <v/>
      </c>
      <c r="J988" s="9">
        <f>IF(AND(G988&gt;0.9,G988&lt;1),"OK","CHECK")</f>
        <v/>
      </c>
    </row>
    <row r="989">
      <c r="A989" s="9" t="n">
        <v>36</v>
      </c>
      <c r="B989" s="9" t="n">
        <v>22</v>
      </c>
      <c r="C989" s="9" t="n">
        <v>14</v>
      </c>
      <c r="D989" s="9" t="n">
        <v>5</v>
      </c>
      <c r="E989" s="10">
        <f>COMBIN(A989,D989)/COMBIN(A989-B989,D989)</f>
        <v/>
      </c>
      <c r="F989" s="11">
        <f>ROUNDUP(E989*Controls!$B$4,4)</f>
        <v/>
      </c>
      <c r="G989" s="12">
        <f>F989/E989</f>
        <v/>
      </c>
      <c r="H989" s="10">
        <f>(A989-B989-(D989-1))/(A989-(D989-1))</f>
        <v/>
      </c>
      <c r="I989" s="9">
        <f>A989&amp;'x'&amp;B989</f>
        <v/>
      </c>
      <c r="J989" s="9">
        <f>IF(AND(G989&gt;0.9,G989&lt;1),"OK","CHECK")</f>
        <v/>
      </c>
    </row>
    <row r="990">
      <c r="A990" s="9" t="n">
        <v>36</v>
      </c>
      <c r="B990" s="9" t="n">
        <v>22</v>
      </c>
      <c r="C990" s="9" t="n">
        <v>14</v>
      </c>
      <c r="D990" s="9" t="n">
        <v>6</v>
      </c>
      <c r="E990" s="10">
        <f>COMBIN(A990,D990)/COMBIN(A990-B990,D990)</f>
        <v/>
      </c>
      <c r="F990" s="11">
        <f>ROUNDUP(E990*Controls!$B$4,4)</f>
        <v/>
      </c>
      <c r="G990" s="12">
        <f>F990/E990</f>
        <v/>
      </c>
      <c r="H990" s="10">
        <f>(A990-B990-(D990-1))/(A990-(D990-1))</f>
        <v/>
      </c>
      <c r="I990" s="9">
        <f>A990&amp;'x'&amp;B990</f>
        <v/>
      </c>
      <c r="J990" s="9">
        <f>IF(AND(G990&gt;0.9,G990&lt;1),"OK","CHECK")</f>
        <v/>
      </c>
    </row>
    <row r="991">
      <c r="A991" s="9" t="n">
        <v>36</v>
      </c>
      <c r="B991" s="9" t="n">
        <v>22</v>
      </c>
      <c r="C991" s="9" t="n">
        <v>14</v>
      </c>
      <c r="D991" s="9" t="n">
        <v>7</v>
      </c>
      <c r="E991" s="10">
        <f>COMBIN(A991,D991)/COMBIN(A991-B991,D991)</f>
        <v/>
      </c>
      <c r="F991" s="11">
        <f>ROUNDUP(E991*Controls!$B$4,4)</f>
        <v/>
      </c>
      <c r="G991" s="12">
        <f>F991/E991</f>
        <v/>
      </c>
      <c r="H991" s="10">
        <f>(A991-B991-(D991-1))/(A991-(D991-1))</f>
        <v/>
      </c>
      <c r="I991" s="9">
        <f>A991&amp;'x'&amp;B991</f>
        <v/>
      </c>
      <c r="J991" s="9">
        <f>IF(AND(G991&gt;0.9,G991&lt;1),"OK","CHECK")</f>
        <v/>
      </c>
    </row>
    <row r="992">
      <c r="A992" s="9" t="n">
        <v>36</v>
      </c>
      <c r="B992" s="9" t="n">
        <v>22</v>
      </c>
      <c r="C992" s="9" t="n">
        <v>14</v>
      </c>
      <c r="D992" s="9" t="n">
        <v>8</v>
      </c>
      <c r="E992" s="10">
        <f>COMBIN(A992,D992)/COMBIN(A992-B992,D992)</f>
        <v/>
      </c>
      <c r="F992" s="11">
        <f>ROUNDUP(E992*Controls!$B$4,4)</f>
        <v/>
      </c>
      <c r="G992" s="12">
        <f>F992/E992</f>
        <v/>
      </c>
      <c r="H992" s="10">
        <f>(A992-B992-(D992-1))/(A992-(D992-1))</f>
        <v/>
      </c>
      <c r="I992" s="9">
        <f>A992&amp;'x'&amp;B992</f>
        <v/>
      </c>
      <c r="J992" s="9">
        <f>IF(AND(G992&gt;0.9,G992&lt;1),"OK","CHECK")</f>
        <v/>
      </c>
    </row>
    <row r="993">
      <c r="A993" s="9" t="n">
        <v>36</v>
      </c>
      <c r="B993" s="9" t="n">
        <v>22</v>
      </c>
      <c r="C993" s="9" t="n">
        <v>14</v>
      </c>
      <c r="D993" s="9" t="n">
        <v>9</v>
      </c>
      <c r="E993" s="10">
        <f>COMBIN(A993,D993)/COMBIN(A993-B993,D993)</f>
        <v/>
      </c>
      <c r="F993" s="11">
        <f>ROUNDUP(E993*Controls!$B$4,4)</f>
        <v/>
      </c>
      <c r="G993" s="12">
        <f>F993/E993</f>
        <v/>
      </c>
      <c r="H993" s="10">
        <f>(A993-B993-(D993-1))/(A993-(D993-1))</f>
        <v/>
      </c>
      <c r="I993" s="9">
        <f>A993&amp;'x'&amp;B993</f>
        <v/>
      </c>
      <c r="J993" s="9">
        <f>IF(AND(G993&gt;0.9,G993&lt;1),"OK","CHECK")</f>
        <v/>
      </c>
    </row>
    <row r="994">
      <c r="A994" s="9" t="n">
        <v>36</v>
      </c>
      <c r="B994" s="9" t="n">
        <v>22</v>
      </c>
      <c r="C994" s="9" t="n">
        <v>14</v>
      </c>
      <c r="D994" s="9" t="n">
        <v>10</v>
      </c>
      <c r="E994" s="10">
        <f>COMBIN(A994,D994)/COMBIN(A994-B994,D994)</f>
        <v/>
      </c>
      <c r="F994" s="11">
        <f>ROUNDUP(E994*Controls!$B$4,4)</f>
        <v/>
      </c>
      <c r="G994" s="12">
        <f>F994/E994</f>
        <v/>
      </c>
      <c r="H994" s="10">
        <f>(A994-B994-(D994-1))/(A994-(D994-1))</f>
        <v/>
      </c>
      <c r="I994" s="9">
        <f>A994&amp;'x'&amp;B994</f>
        <v/>
      </c>
      <c r="J994" s="9">
        <f>IF(AND(G994&gt;0.9,G994&lt;1),"OK","CHECK")</f>
        <v/>
      </c>
    </row>
    <row r="995">
      <c r="A995" s="9" t="n">
        <v>36</v>
      </c>
      <c r="B995" s="9" t="n">
        <v>22</v>
      </c>
      <c r="C995" s="9" t="n">
        <v>14</v>
      </c>
      <c r="D995" s="9" t="n">
        <v>11</v>
      </c>
      <c r="E995" s="10">
        <f>COMBIN(A995,D995)/COMBIN(A995-B995,D995)</f>
        <v/>
      </c>
      <c r="F995" s="11">
        <f>ROUNDUP(E995*Controls!$B$4,4)</f>
        <v/>
      </c>
      <c r="G995" s="12">
        <f>F995/E995</f>
        <v/>
      </c>
      <c r="H995" s="10">
        <f>(A995-B995-(D995-1))/(A995-(D995-1))</f>
        <v/>
      </c>
      <c r="I995" s="9">
        <f>A995&amp;'x'&amp;B995</f>
        <v/>
      </c>
      <c r="J995" s="9">
        <f>IF(AND(G995&gt;0.9,G995&lt;1),"OK","CHECK")</f>
        <v/>
      </c>
    </row>
    <row r="996">
      <c r="A996" s="9" t="n">
        <v>36</v>
      </c>
      <c r="B996" s="9" t="n">
        <v>22</v>
      </c>
      <c r="C996" s="9" t="n">
        <v>14</v>
      </c>
      <c r="D996" s="9" t="n">
        <v>12</v>
      </c>
      <c r="E996" s="10">
        <f>COMBIN(A996,D996)/COMBIN(A996-B996,D996)</f>
        <v/>
      </c>
      <c r="F996" s="11">
        <f>ROUNDUP(E996*Controls!$B$4,4)</f>
        <v/>
      </c>
      <c r="G996" s="12">
        <f>F996/E996</f>
        <v/>
      </c>
      <c r="H996" s="10">
        <f>(A996-B996-(D996-1))/(A996-(D996-1))</f>
        <v/>
      </c>
      <c r="I996" s="9">
        <f>A996&amp;'x'&amp;B996</f>
        <v/>
      </c>
      <c r="J996" s="9">
        <f>IF(AND(G996&gt;0.9,G996&lt;1),"OK","CHECK")</f>
        <v/>
      </c>
    </row>
    <row r="997">
      <c r="A997" s="9" t="n">
        <v>36</v>
      </c>
      <c r="B997" s="9" t="n">
        <v>22</v>
      </c>
      <c r="C997" s="9" t="n">
        <v>14</v>
      </c>
      <c r="D997" s="9" t="n">
        <v>13</v>
      </c>
      <c r="E997" s="10">
        <f>COMBIN(A997,D997)/COMBIN(A997-B997,D997)</f>
        <v/>
      </c>
      <c r="F997" s="11">
        <f>ROUNDUP(E997*Controls!$B$4,4)</f>
        <v/>
      </c>
      <c r="G997" s="12">
        <f>F997/E997</f>
        <v/>
      </c>
      <c r="H997" s="10">
        <f>(A997-B997-(D997-1))/(A997-(D997-1))</f>
        <v/>
      </c>
      <c r="I997" s="9">
        <f>A997&amp;'x'&amp;B997</f>
        <v/>
      </c>
      <c r="J997" s="9">
        <f>IF(AND(G997&gt;0.9,G997&lt;1),"OK","CHECK")</f>
        <v/>
      </c>
    </row>
    <row r="998">
      <c r="A998" s="9" t="n">
        <v>36</v>
      </c>
      <c r="B998" s="9" t="n">
        <v>22</v>
      </c>
      <c r="C998" s="9" t="n">
        <v>14</v>
      </c>
      <c r="D998" s="9" t="n">
        <v>14</v>
      </c>
      <c r="E998" s="10">
        <f>COMBIN(A998,D998)/COMBIN(A998-B998,D998)</f>
        <v/>
      </c>
      <c r="F998" s="11">
        <f>ROUNDUP(E998*Controls!$B$4,4)</f>
        <v/>
      </c>
      <c r="G998" s="12">
        <f>F998/E998</f>
        <v/>
      </c>
      <c r="H998" s="10">
        <f>(A998-B998-(D998-1))/(A998-(D998-1))</f>
        <v/>
      </c>
      <c r="I998" s="9">
        <f>A998&amp;'x'&amp;B998</f>
        <v/>
      </c>
      <c r="J998" s="9">
        <f>IF(AND(G998&gt;0.9,G998&lt;1),"OK","CHECK")</f>
        <v/>
      </c>
    </row>
    <row r="999">
      <c r="A999" s="9" t="n">
        <v>36</v>
      </c>
      <c r="B999" s="9" t="n">
        <v>23</v>
      </c>
      <c r="C999" s="9" t="n">
        <v>13</v>
      </c>
      <c r="D999" s="9" t="n">
        <v>1</v>
      </c>
      <c r="E999" s="10">
        <f>COMBIN(A999,D999)/COMBIN(A999-B999,D999)</f>
        <v/>
      </c>
      <c r="F999" s="11">
        <f>ROUNDUP(E999*Controls!$B$4,4)</f>
        <v/>
      </c>
      <c r="G999" s="12">
        <f>F999/E999</f>
        <v/>
      </c>
      <c r="H999" s="10">
        <f>(A999-B999-(D999-1))/(A999-(D999-1))</f>
        <v/>
      </c>
      <c r="I999" s="9">
        <f>A999&amp;'x'&amp;B999</f>
        <v/>
      </c>
      <c r="J999" s="9">
        <f>IF(AND(G999&gt;0.9,G999&lt;1),"OK","CHECK")</f>
        <v/>
      </c>
    </row>
    <row r="1000">
      <c r="A1000" s="9" t="n">
        <v>36</v>
      </c>
      <c r="B1000" s="9" t="n">
        <v>23</v>
      </c>
      <c r="C1000" s="9" t="n">
        <v>13</v>
      </c>
      <c r="D1000" s="9" t="n">
        <v>2</v>
      </c>
      <c r="E1000" s="10">
        <f>COMBIN(A1000,D1000)/COMBIN(A1000-B1000,D1000)</f>
        <v/>
      </c>
      <c r="F1000" s="11">
        <f>ROUNDUP(E1000*Controls!$B$4,4)</f>
        <v/>
      </c>
      <c r="G1000" s="12">
        <f>F1000/E1000</f>
        <v/>
      </c>
      <c r="H1000" s="10">
        <f>(A1000-B1000-(D1000-1))/(A1000-(D1000-1))</f>
        <v/>
      </c>
      <c r="I1000" s="9">
        <f>A1000&amp;'x'&amp;B1000</f>
        <v/>
      </c>
      <c r="J1000" s="9">
        <f>IF(AND(G1000&gt;0.9,G1000&lt;1),"OK","CHECK")</f>
        <v/>
      </c>
    </row>
    <row r="1001">
      <c r="A1001" s="9" t="n">
        <v>36</v>
      </c>
      <c r="B1001" s="9" t="n">
        <v>23</v>
      </c>
      <c r="C1001" s="9" t="n">
        <v>13</v>
      </c>
      <c r="D1001" s="9" t="n">
        <v>3</v>
      </c>
      <c r="E1001" s="10">
        <f>COMBIN(A1001,D1001)/COMBIN(A1001-B1001,D1001)</f>
        <v/>
      </c>
      <c r="F1001" s="11">
        <f>ROUNDUP(E1001*Controls!$B$4,4)</f>
        <v/>
      </c>
      <c r="G1001" s="12">
        <f>F1001/E1001</f>
        <v/>
      </c>
      <c r="H1001" s="10">
        <f>(A1001-B1001-(D1001-1))/(A1001-(D1001-1))</f>
        <v/>
      </c>
      <c r="I1001" s="9">
        <f>A1001&amp;'x'&amp;B1001</f>
        <v/>
      </c>
      <c r="J1001" s="9">
        <f>IF(AND(G1001&gt;0.9,G1001&lt;1),"OK","CHECK")</f>
        <v/>
      </c>
    </row>
    <row r="1002">
      <c r="A1002" s="9" t="n">
        <v>36</v>
      </c>
      <c r="B1002" s="9" t="n">
        <v>23</v>
      </c>
      <c r="C1002" s="9" t="n">
        <v>13</v>
      </c>
      <c r="D1002" s="9" t="n">
        <v>4</v>
      </c>
      <c r="E1002" s="10">
        <f>COMBIN(A1002,D1002)/COMBIN(A1002-B1002,D1002)</f>
        <v/>
      </c>
      <c r="F1002" s="11">
        <f>ROUNDUP(E1002*Controls!$B$4,4)</f>
        <v/>
      </c>
      <c r="G1002" s="12">
        <f>F1002/E1002</f>
        <v/>
      </c>
      <c r="H1002" s="10">
        <f>(A1002-B1002-(D1002-1))/(A1002-(D1002-1))</f>
        <v/>
      </c>
      <c r="I1002" s="9">
        <f>A1002&amp;'x'&amp;B1002</f>
        <v/>
      </c>
      <c r="J1002" s="9">
        <f>IF(AND(G1002&gt;0.9,G1002&lt;1),"OK","CHECK")</f>
        <v/>
      </c>
    </row>
    <row r="1003">
      <c r="A1003" s="9" t="n">
        <v>36</v>
      </c>
      <c r="B1003" s="9" t="n">
        <v>23</v>
      </c>
      <c r="C1003" s="9" t="n">
        <v>13</v>
      </c>
      <c r="D1003" s="9" t="n">
        <v>5</v>
      </c>
      <c r="E1003" s="10">
        <f>COMBIN(A1003,D1003)/COMBIN(A1003-B1003,D1003)</f>
        <v/>
      </c>
      <c r="F1003" s="11">
        <f>ROUNDUP(E1003*Controls!$B$4,4)</f>
        <v/>
      </c>
      <c r="G1003" s="12">
        <f>F1003/E1003</f>
        <v/>
      </c>
      <c r="H1003" s="10">
        <f>(A1003-B1003-(D1003-1))/(A1003-(D1003-1))</f>
        <v/>
      </c>
      <c r="I1003" s="9">
        <f>A1003&amp;'x'&amp;B1003</f>
        <v/>
      </c>
      <c r="J1003" s="9">
        <f>IF(AND(G1003&gt;0.9,G1003&lt;1),"OK","CHECK")</f>
        <v/>
      </c>
    </row>
    <row r="1004">
      <c r="A1004" s="9" t="n">
        <v>36</v>
      </c>
      <c r="B1004" s="9" t="n">
        <v>23</v>
      </c>
      <c r="C1004" s="9" t="n">
        <v>13</v>
      </c>
      <c r="D1004" s="9" t="n">
        <v>6</v>
      </c>
      <c r="E1004" s="10">
        <f>COMBIN(A1004,D1004)/COMBIN(A1004-B1004,D1004)</f>
        <v/>
      </c>
      <c r="F1004" s="11">
        <f>ROUNDUP(E1004*Controls!$B$4,4)</f>
        <v/>
      </c>
      <c r="G1004" s="12">
        <f>F1004/E1004</f>
        <v/>
      </c>
      <c r="H1004" s="10">
        <f>(A1004-B1004-(D1004-1))/(A1004-(D1004-1))</f>
        <v/>
      </c>
      <c r="I1004" s="9">
        <f>A1004&amp;'x'&amp;B1004</f>
        <v/>
      </c>
      <c r="J1004" s="9">
        <f>IF(AND(G1004&gt;0.9,G1004&lt;1),"OK","CHECK")</f>
        <v/>
      </c>
    </row>
    <row r="1005">
      <c r="A1005" s="9" t="n">
        <v>36</v>
      </c>
      <c r="B1005" s="9" t="n">
        <v>23</v>
      </c>
      <c r="C1005" s="9" t="n">
        <v>13</v>
      </c>
      <c r="D1005" s="9" t="n">
        <v>7</v>
      </c>
      <c r="E1005" s="10">
        <f>COMBIN(A1005,D1005)/COMBIN(A1005-B1005,D1005)</f>
        <v/>
      </c>
      <c r="F1005" s="11">
        <f>ROUNDUP(E1005*Controls!$B$4,4)</f>
        <v/>
      </c>
      <c r="G1005" s="12">
        <f>F1005/E1005</f>
        <v/>
      </c>
      <c r="H1005" s="10">
        <f>(A1005-B1005-(D1005-1))/(A1005-(D1005-1))</f>
        <v/>
      </c>
      <c r="I1005" s="9">
        <f>A1005&amp;'x'&amp;B1005</f>
        <v/>
      </c>
      <c r="J1005" s="9">
        <f>IF(AND(G1005&gt;0.9,G1005&lt;1),"OK","CHECK")</f>
        <v/>
      </c>
    </row>
    <row r="1006">
      <c r="A1006" s="9" t="n">
        <v>36</v>
      </c>
      <c r="B1006" s="9" t="n">
        <v>23</v>
      </c>
      <c r="C1006" s="9" t="n">
        <v>13</v>
      </c>
      <c r="D1006" s="9" t="n">
        <v>8</v>
      </c>
      <c r="E1006" s="10">
        <f>COMBIN(A1006,D1006)/COMBIN(A1006-B1006,D1006)</f>
        <v/>
      </c>
      <c r="F1006" s="11">
        <f>ROUNDUP(E1006*Controls!$B$4,4)</f>
        <v/>
      </c>
      <c r="G1006" s="12">
        <f>F1006/E1006</f>
        <v/>
      </c>
      <c r="H1006" s="10">
        <f>(A1006-B1006-(D1006-1))/(A1006-(D1006-1))</f>
        <v/>
      </c>
      <c r="I1006" s="9">
        <f>A1006&amp;'x'&amp;B1006</f>
        <v/>
      </c>
      <c r="J1006" s="9">
        <f>IF(AND(G1006&gt;0.9,G1006&lt;1),"OK","CHECK")</f>
        <v/>
      </c>
    </row>
    <row r="1007">
      <c r="A1007" s="9" t="n">
        <v>36</v>
      </c>
      <c r="B1007" s="9" t="n">
        <v>23</v>
      </c>
      <c r="C1007" s="9" t="n">
        <v>13</v>
      </c>
      <c r="D1007" s="9" t="n">
        <v>9</v>
      </c>
      <c r="E1007" s="10">
        <f>COMBIN(A1007,D1007)/COMBIN(A1007-B1007,D1007)</f>
        <v/>
      </c>
      <c r="F1007" s="11">
        <f>ROUNDUP(E1007*Controls!$B$4,4)</f>
        <v/>
      </c>
      <c r="G1007" s="12">
        <f>F1007/E1007</f>
        <v/>
      </c>
      <c r="H1007" s="10">
        <f>(A1007-B1007-(D1007-1))/(A1007-(D1007-1))</f>
        <v/>
      </c>
      <c r="I1007" s="9">
        <f>A1007&amp;'x'&amp;B1007</f>
        <v/>
      </c>
      <c r="J1007" s="9">
        <f>IF(AND(G1007&gt;0.9,G1007&lt;1),"OK","CHECK")</f>
        <v/>
      </c>
    </row>
    <row r="1008">
      <c r="A1008" s="9" t="n">
        <v>36</v>
      </c>
      <c r="B1008" s="9" t="n">
        <v>23</v>
      </c>
      <c r="C1008" s="9" t="n">
        <v>13</v>
      </c>
      <c r="D1008" s="9" t="n">
        <v>10</v>
      </c>
      <c r="E1008" s="10">
        <f>COMBIN(A1008,D1008)/COMBIN(A1008-B1008,D1008)</f>
        <v/>
      </c>
      <c r="F1008" s="11">
        <f>ROUNDUP(E1008*Controls!$B$4,4)</f>
        <v/>
      </c>
      <c r="G1008" s="12">
        <f>F1008/E1008</f>
        <v/>
      </c>
      <c r="H1008" s="10">
        <f>(A1008-B1008-(D1008-1))/(A1008-(D1008-1))</f>
        <v/>
      </c>
      <c r="I1008" s="9">
        <f>A1008&amp;'x'&amp;B1008</f>
        <v/>
      </c>
      <c r="J1008" s="9">
        <f>IF(AND(G1008&gt;0.9,G1008&lt;1),"OK","CHECK")</f>
        <v/>
      </c>
    </row>
    <row r="1009">
      <c r="A1009" s="9" t="n">
        <v>36</v>
      </c>
      <c r="B1009" s="9" t="n">
        <v>23</v>
      </c>
      <c r="C1009" s="9" t="n">
        <v>13</v>
      </c>
      <c r="D1009" s="9" t="n">
        <v>11</v>
      </c>
      <c r="E1009" s="10">
        <f>COMBIN(A1009,D1009)/COMBIN(A1009-B1009,D1009)</f>
        <v/>
      </c>
      <c r="F1009" s="11">
        <f>ROUNDUP(E1009*Controls!$B$4,4)</f>
        <v/>
      </c>
      <c r="G1009" s="12">
        <f>F1009/E1009</f>
        <v/>
      </c>
      <c r="H1009" s="10">
        <f>(A1009-B1009-(D1009-1))/(A1009-(D1009-1))</f>
        <v/>
      </c>
      <c r="I1009" s="9">
        <f>A1009&amp;'x'&amp;B1009</f>
        <v/>
      </c>
      <c r="J1009" s="9">
        <f>IF(AND(G1009&gt;0.9,G1009&lt;1),"OK","CHECK")</f>
        <v/>
      </c>
    </row>
    <row r="1010">
      <c r="A1010" s="9" t="n">
        <v>36</v>
      </c>
      <c r="B1010" s="9" t="n">
        <v>23</v>
      </c>
      <c r="C1010" s="9" t="n">
        <v>13</v>
      </c>
      <c r="D1010" s="9" t="n">
        <v>12</v>
      </c>
      <c r="E1010" s="10">
        <f>COMBIN(A1010,D1010)/COMBIN(A1010-B1010,D1010)</f>
        <v/>
      </c>
      <c r="F1010" s="11">
        <f>ROUNDUP(E1010*Controls!$B$4,4)</f>
        <v/>
      </c>
      <c r="G1010" s="12">
        <f>F1010/E1010</f>
        <v/>
      </c>
      <c r="H1010" s="10">
        <f>(A1010-B1010-(D1010-1))/(A1010-(D1010-1))</f>
        <v/>
      </c>
      <c r="I1010" s="9">
        <f>A1010&amp;'x'&amp;B1010</f>
        <v/>
      </c>
      <c r="J1010" s="9">
        <f>IF(AND(G1010&gt;0.9,G1010&lt;1),"OK","CHECK")</f>
        <v/>
      </c>
    </row>
    <row r="1011">
      <c r="A1011" s="9" t="n">
        <v>36</v>
      </c>
      <c r="B1011" s="9" t="n">
        <v>23</v>
      </c>
      <c r="C1011" s="9" t="n">
        <v>13</v>
      </c>
      <c r="D1011" s="9" t="n">
        <v>13</v>
      </c>
      <c r="E1011" s="10">
        <f>COMBIN(A1011,D1011)/COMBIN(A1011-B1011,D1011)</f>
        <v/>
      </c>
      <c r="F1011" s="11">
        <f>ROUNDUP(E1011*Controls!$B$4,4)</f>
        <v/>
      </c>
      <c r="G1011" s="12">
        <f>F1011/E1011</f>
        <v/>
      </c>
      <c r="H1011" s="10">
        <f>(A1011-B1011-(D1011-1))/(A1011-(D1011-1))</f>
        <v/>
      </c>
      <c r="I1011" s="9">
        <f>A1011&amp;'x'&amp;B1011</f>
        <v/>
      </c>
      <c r="J1011" s="9">
        <f>IF(AND(G1011&gt;0.9,G1011&lt;1),"OK","CHECK")</f>
        <v/>
      </c>
    </row>
    <row r="1012">
      <c r="A1012" s="9" t="n">
        <v>36</v>
      </c>
      <c r="B1012" s="9" t="n">
        <v>24</v>
      </c>
      <c r="C1012" s="9" t="n">
        <v>12</v>
      </c>
      <c r="D1012" s="9" t="n">
        <v>1</v>
      </c>
      <c r="E1012" s="10">
        <f>COMBIN(A1012,D1012)/COMBIN(A1012-B1012,D1012)</f>
        <v/>
      </c>
      <c r="F1012" s="11">
        <f>ROUNDUP(E1012*Controls!$B$4,4)</f>
        <v/>
      </c>
      <c r="G1012" s="12">
        <f>F1012/E1012</f>
        <v/>
      </c>
      <c r="H1012" s="10">
        <f>(A1012-B1012-(D1012-1))/(A1012-(D1012-1))</f>
        <v/>
      </c>
      <c r="I1012" s="9">
        <f>A1012&amp;'x'&amp;B1012</f>
        <v/>
      </c>
      <c r="J1012" s="9">
        <f>IF(AND(G1012&gt;0.9,G1012&lt;1),"OK","CHECK")</f>
        <v/>
      </c>
    </row>
    <row r="1013">
      <c r="A1013" s="9" t="n">
        <v>36</v>
      </c>
      <c r="B1013" s="9" t="n">
        <v>24</v>
      </c>
      <c r="C1013" s="9" t="n">
        <v>12</v>
      </c>
      <c r="D1013" s="9" t="n">
        <v>2</v>
      </c>
      <c r="E1013" s="10">
        <f>COMBIN(A1013,D1013)/COMBIN(A1013-B1013,D1013)</f>
        <v/>
      </c>
      <c r="F1013" s="11">
        <f>ROUNDUP(E1013*Controls!$B$4,4)</f>
        <v/>
      </c>
      <c r="G1013" s="12">
        <f>F1013/E1013</f>
        <v/>
      </c>
      <c r="H1013" s="10">
        <f>(A1013-B1013-(D1013-1))/(A1013-(D1013-1))</f>
        <v/>
      </c>
      <c r="I1013" s="9">
        <f>A1013&amp;'x'&amp;B1013</f>
        <v/>
      </c>
      <c r="J1013" s="9">
        <f>IF(AND(G1013&gt;0.9,G1013&lt;1),"OK","CHECK")</f>
        <v/>
      </c>
    </row>
    <row r="1014">
      <c r="A1014" s="9" t="n">
        <v>36</v>
      </c>
      <c r="B1014" s="9" t="n">
        <v>24</v>
      </c>
      <c r="C1014" s="9" t="n">
        <v>12</v>
      </c>
      <c r="D1014" s="9" t="n">
        <v>3</v>
      </c>
      <c r="E1014" s="10">
        <f>COMBIN(A1014,D1014)/COMBIN(A1014-B1014,D1014)</f>
        <v/>
      </c>
      <c r="F1014" s="11">
        <f>ROUNDUP(E1014*Controls!$B$4,4)</f>
        <v/>
      </c>
      <c r="G1014" s="12">
        <f>F1014/E1014</f>
        <v/>
      </c>
      <c r="H1014" s="10">
        <f>(A1014-B1014-(D1014-1))/(A1014-(D1014-1))</f>
        <v/>
      </c>
      <c r="I1014" s="9">
        <f>A1014&amp;'x'&amp;B1014</f>
        <v/>
      </c>
      <c r="J1014" s="9">
        <f>IF(AND(G1014&gt;0.9,G1014&lt;1),"OK","CHECK")</f>
        <v/>
      </c>
    </row>
    <row r="1015">
      <c r="A1015" s="9" t="n">
        <v>36</v>
      </c>
      <c r="B1015" s="9" t="n">
        <v>24</v>
      </c>
      <c r="C1015" s="9" t="n">
        <v>12</v>
      </c>
      <c r="D1015" s="9" t="n">
        <v>4</v>
      </c>
      <c r="E1015" s="10">
        <f>COMBIN(A1015,D1015)/COMBIN(A1015-B1015,D1015)</f>
        <v/>
      </c>
      <c r="F1015" s="11">
        <f>ROUNDUP(E1015*Controls!$B$4,4)</f>
        <v/>
      </c>
      <c r="G1015" s="12">
        <f>F1015/E1015</f>
        <v/>
      </c>
      <c r="H1015" s="10">
        <f>(A1015-B1015-(D1015-1))/(A1015-(D1015-1))</f>
        <v/>
      </c>
      <c r="I1015" s="9">
        <f>A1015&amp;'x'&amp;B1015</f>
        <v/>
      </c>
      <c r="J1015" s="9">
        <f>IF(AND(G1015&gt;0.9,G1015&lt;1),"OK","CHECK")</f>
        <v/>
      </c>
    </row>
    <row r="1016">
      <c r="A1016" s="9" t="n">
        <v>36</v>
      </c>
      <c r="B1016" s="9" t="n">
        <v>24</v>
      </c>
      <c r="C1016" s="9" t="n">
        <v>12</v>
      </c>
      <c r="D1016" s="9" t="n">
        <v>5</v>
      </c>
      <c r="E1016" s="10">
        <f>COMBIN(A1016,D1016)/COMBIN(A1016-B1016,D1016)</f>
        <v/>
      </c>
      <c r="F1016" s="11">
        <f>ROUNDUP(E1016*Controls!$B$4,4)</f>
        <v/>
      </c>
      <c r="G1016" s="12">
        <f>F1016/E1016</f>
        <v/>
      </c>
      <c r="H1016" s="10">
        <f>(A1016-B1016-(D1016-1))/(A1016-(D1016-1))</f>
        <v/>
      </c>
      <c r="I1016" s="9">
        <f>A1016&amp;'x'&amp;B1016</f>
        <v/>
      </c>
      <c r="J1016" s="9">
        <f>IF(AND(G1016&gt;0.9,G1016&lt;1),"OK","CHECK")</f>
        <v/>
      </c>
    </row>
    <row r="1017">
      <c r="A1017" s="9" t="n">
        <v>36</v>
      </c>
      <c r="B1017" s="9" t="n">
        <v>24</v>
      </c>
      <c r="C1017" s="9" t="n">
        <v>12</v>
      </c>
      <c r="D1017" s="9" t="n">
        <v>6</v>
      </c>
      <c r="E1017" s="10">
        <f>COMBIN(A1017,D1017)/COMBIN(A1017-B1017,D1017)</f>
        <v/>
      </c>
      <c r="F1017" s="11">
        <f>ROUNDUP(E1017*Controls!$B$4,4)</f>
        <v/>
      </c>
      <c r="G1017" s="12">
        <f>F1017/E1017</f>
        <v/>
      </c>
      <c r="H1017" s="10">
        <f>(A1017-B1017-(D1017-1))/(A1017-(D1017-1))</f>
        <v/>
      </c>
      <c r="I1017" s="9">
        <f>A1017&amp;'x'&amp;B1017</f>
        <v/>
      </c>
      <c r="J1017" s="9">
        <f>IF(AND(G1017&gt;0.9,G1017&lt;1),"OK","CHECK")</f>
        <v/>
      </c>
    </row>
    <row r="1018">
      <c r="A1018" s="9" t="n">
        <v>36</v>
      </c>
      <c r="B1018" s="9" t="n">
        <v>24</v>
      </c>
      <c r="C1018" s="9" t="n">
        <v>12</v>
      </c>
      <c r="D1018" s="9" t="n">
        <v>7</v>
      </c>
      <c r="E1018" s="10">
        <f>COMBIN(A1018,D1018)/COMBIN(A1018-B1018,D1018)</f>
        <v/>
      </c>
      <c r="F1018" s="11">
        <f>ROUNDUP(E1018*Controls!$B$4,4)</f>
        <v/>
      </c>
      <c r="G1018" s="12">
        <f>F1018/E1018</f>
        <v/>
      </c>
      <c r="H1018" s="10">
        <f>(A1018-B1018-(D1018-1))/(A1018-(D1018-1))</f>
        <v/>
      </c>
      <c r="I1018" s="9">
        <f>A1018&amp;'x'&amp;B1018</f>
        <v/>
      </c>
      <c r="J1018" s="9">
        <f>IF(AND(G1018&gt;0.9,G1018&lt;1),"OK","CHECK")</f>
        <v/>
      </c>
    </row>
    <row r="1019">
      <c r="A1019" s="9" t="n">
        <v>36</v>
      </c>
      <c r="B1019" s="9" t="n">
        <v>24</v>
      </c>
      <c r="C1019" s="9" t="n">
        <v>12</v>
      </c>
      <c r="D1019" s="9" t="n">
        <v>8</v>
      </c>
      <c r="E1019" s="10">
        <f>COMBIN(A1019,D1019)/COMBIN(A1019-B1019,D1019)</f>
        <v/>
      </c>
      <c r="F1019" s="11">
        <f>ROUNDUP(E1019*Controls!$B$4,4)</f>
        <v/>
      </c>
      <c r="G1019" s="12">
        <f>F1019/E1019</f>
        <v/>
      </c>
      <c r="H1019" s="10">
        <f>(A1019-B1019-(D1019-1))/(A1019-(D1019-1))</f>
        <v/>
      </c>
      <c r="I1019" s="9">
        <f>A1019&amp;'x'&amp;B1019</f>
        <v/>
      </c>
      <c r="J1019" s="9">
        <f>IF(AND(G1019&gt;0.9,G1019&lt;1),"OK","CHECK")</f>
        <v/>
      </c>
    </row>
    <row r="1020">
      <c r="A1020" s="9" t="n">
        <v>36</v>
      </c>
      <c r="B1020" s="9" t="n">
        <v>24</v>
      </c>
      <c r="C1020" s="9" t="n">
        <v>12</v>
      </c>
      <c r="D1020" s="9" t="n">
        <v>9</v>
      </c>
      <c r="E1020" s="10">
        <f>COMBIN(A1020,D1020)/COMBIN(A1020-B1020,D1020)</f>
        <v/>
      </c>
      <c r="F1020" s="11">
        <f>ROUNDUP(E1020*Controls!$B$4,4)</f>
        <v/>
      </c>
      <c r="G1020" s="12">
        <f>F1020/E1020</f>
        <v/>
      </c>
      <c r="H1020" s="10">
        <f>(A1020-B1020-(D1020-1))/(A1020-(D1020-1))</f>
        <v/>
      </c>
      <c r="I1020" s="9">
        <f>A1020&amp;'x'&amp;B1020</f>
        <v/>
      </c>
      <c r="J1020" s="9">
        <f>IF(AND(G1020&gt;0.9,G1020&lt;1),"OK","CHECK")</f>
        <v/>
      </c>
    </row>
    <row r="1021">
      <c r="A1021" s="9" t="n">
        <v>36</v>
      </c>
      <c r="B1021" s="9" t="n">
        <v>24</v>
      </c>
      <c r="C1021" s="9" t="n">
        <v>12</v>
      </c>
      <c r="D1021" s="9" t="n">
        <v>10</v>
      </c>
      <c r="E1021" s="10">
        <f>COMBIN(A1021,D1021)/COMBIN(A1021-B1021,D1021)</f>
        <v/>
      </c>
      <c r="F1021" s="11">
        <f>ROUNDUP(E1021*Controls!$B$4,4)</f>
        <v/>
      </c>
      <c r="G1021" s="12">
        <f>F1021/E1021</f>
        <v/>
      </c>
      <c r="H1021" s="10">
        <f>(A1021-B1021-(D1021-1))/(A1021-(D1021-1))</f>
        <v/>
      </c>
      <c r="I1021" s="9">
        <f>A1021&amp;'x'&amp;B1021</f>
        <v/>
      </c>
      <c r="J1021" s="9">
        <f>IF(AND(G1021&gt;0.9,G1021&lt;1),"OK","CHECK")</f>
        <v/>
      </c>
    </row>
    <row r="1022">
      <c r="A1022" s="9" t="n">
        <v>36</v>
      </c>
      <c r="B1022" s="9" t="n">
        <v>24</v>
      </c>
      <c r="C1022" s="9" t="n">
        <v>12</v>
      </c>
      <c r="D1022" s="9" t="n">
        <v>11</v>
      </c>
      <c r="E1022" s="10">
        <f>COMBIN(A1022,D1022)/COMBIN(A1022-B1022,D1022)</f>
        <v/>
      </c>
      <c r="F1022" s="11">
        <f>ROUNDUP(E1022*Controls!$B$4,4)</f>
        <v/>
      </c>
      <c r="G1022" s="12">
        <f>F1022/E1022</f>
        <v/>
      </c>
      <c r="H1022" s="10">
        <f>(A1022-B1022-(D1022-1))/(A1022-(D1022-1))</f>
        <v/>
      </c>
      <c r="I1022" s="9">
        <f>A1022&amp;'x'&amp;B1022</f>
        <v/>
      </c>
      <c r="J1022" s="9">
        <f>IF(AND(G1022&gt;0.9,G1022&lt;1),"OK","CHECK")</f>
        <v/>
      </c>
    </row>
    <row r="1023">
      <c r="A1023" s="9" t="n">
        <v>36</v>
      </c>
      <c r="B1023" s="9" t="n">
        <v>24</v>
      </c>
      <c r="C1023" s="9" t="n">
        <v>12</v>
      </c>
      <c r="D1023" s="9" t="n">
        <v>12</v>
      </c>
      <c r="E1023" s="10">
        <f>COMBIN(A1023,D1023)/COMBIN(A1023-B1023,D1023)</f>
        <v/>
      </c>
      <c r="F1023" s="11">
        <f>ROUNDUP(E1023*Controls!$B$4,4)</f>
        <v/>
      </c>
      <c r="G1023" s="12">
        <f>F1023/E1023</f>
        <v/>
      </c>
      <c r="H1023" s="10">
        <f>(A1023-B1023-(D1023-1))/(A1023-(D1023-1))</f>
        <v/>
      </c>
      <c r="I1023" s="9">
        <f>A1023&amp;'x'&amp;B1023</f>
        <v/>
      </c>
      <c r="J1023" s="9">
        <f>IF(AND(G1023&gt;0.9,G1023&lt;1),"OK","CHECK")</f>
        <v/>
      </c>
    </row>
    <row r="1024">
      <c r="A1024" s="9" t="n">
        <v>36</v>
      </c>
      <c r="B1024" s="9" t="n">
        <v>25</v>
      </c>
      <c r="C1024" s="9" t="n">
        <v>11</v>
      </c>
      <c r="D1024" s="9" t="n">
        <v>1</v>
      </c>
      <c r="E1024" s="10">
        <f>COMBIN(A1024,D1024)/COMBIN(A1024-B1024,D1024)</f>
        <v/>
      </c>
      <c r="F1024" s="11">
        <f>ROUNDUP(E1024*Controls!$B$4,4)</f>
        <v/>
      </c>
      <c r="G1024" s="12">
        <f>F1024/E1024</f>
        <v/>
      </c>
      <c r="H1024" s="10">
        <f>(A1024-B1024-(D1024-1))/(A1024-(D1024-1))</f>
        <v/>
      </c>
      <c r="I1024" s="9">
        <f>A1024&amp;'x'&amp;B1024</f>
        <v/>
      </c>
      <c r="J1024" s="9">
        <f>IF(AND(G1024&gt;0.9,G1024&lt;1),"OK","CHECK")</f>
        <v/>
      </c>
    </row>
    <row r="1025">
      <c r="A1025" s="9" t="n">
        <v>36</v>
      </c>
      <c r="B1025" s="9" t="n">
        <v>25</v>
      </c>
      <c r="C1025" s="9" t="n">
        <v>11</v>
      </c>
      <c r="D1025" s="9" t="n">
        <v>2</v>
      </c>
      <c r="E1025" s="10">
        <f>COMBIN(A1025,D1025)/COMBIN(A1025-B1025,D1025)</f>
        <v/>
      </c>
      <c r="F1025" s="11">
        <f>ROUNDUP(E1025*Controls!$B$4,4)</f>
        <v/>
      </c>
      <c r="G1025" s="12">
        <f>F1025/E1025</f>
        <v/>
      </c>
      <c r="H1025" s="10">
        <f>(A1025-B1025-(D1025-1))/(A1025-(D1025-1))</f>
        <v/>
      </c>
      <c r="I1025" s="9">
        <f>A1025&amp;'x'&amp;B1025</f>
        <v/>
      </c>
      <c r="J1025" s="9">
        <f>IF(AND(G1025&gt;0.9,G1025&lt;1),"OK","CHECK")</f>
        <v/>
      </c>
    </row>
    <row r="1026">
      <c r="A1026" s="9" t="n">
        <v>36</v>
      </c>
      <c r="B1026" s="9" t="n">
        <v>25</v>
      </c>
      <c r="C1026" s="9" t="n">
        <v>11</v>
      </c>
      <c r="D1026" s="9" t="n">
        <v>3</v>
      </c>
      <c r="E1026" s="10">
        <f>COMBIN(A1026,D1026)/COMBIN(A1026-B1026,D1026)</f>
        <v/>
      </c>
      <c r="F1026" s="11">
        <f>ROUNDUP(E1026*Controls!$B$4,4)</f>
        <v/>
      </c>
      <c r="G1026" s="12">
        <f>F1026/E1026</f>
        <v/>
      </c>
      <c r="H1026" s="10">
        <f>(A1026-B1026-(D1026-1))/(A1026-(D1026-1))</f>
        <v/>
      </c>
      <c r="I1026" s="9">
        <f>A1026&amp;'x'&amp;B1026</f>
        <v/>
      </c>
      <c r="J1026" s="9">
        <f>IF(AND(G1026&gt;0.9,G1026&lt;1),"OK","CHECK")</f>
        <v/>
      </c>
    </row>
    <row r="1027">
      <c r="A1027" s="9" t="n">
        <v>36</v>
      </c>
      <c r="B1027" s="9" t="n">
        <v>25</v>
      </c>
      <c r="C1027" s="9" t="n">
        <v>11</v>
      </c>
      <c r="D1027" s="9" t="n">
        <v>4</v>
      </c>
      <c r="E1027" s="10">
        <f>COMBIN(A1027,D1027)/COMBIN(A1027-B1027,D1027)</f>
        <v/>
      </c>
      <c r="F1027" s="11">
        <f>ROUNDUP(E1027*Controls!$B$4,4)</f>
        <v/>
      </c>
      <c r="G1027" s="12">
        <f>F1027/E1027</f>
        <v/>
      </c>
      <c r="H1027" s="10">
        <f>(A1027-B1027-(D1027-1))/(A1027-(D1027-1))</f>
        <v/>
      </c>
      <c r="I1027" s="9">
        <f>A1027&amp;'x'&amp;B1027</f>
        <v/>
      </c>
      <c r="J1027" s="9">
        <f>IF(AND(G1027&gt;0.9,G1027&lt;1),"OK","CHECK")</f>
        <v/>
      </c>
    </row>
    <row r="1028">
      <c r="A1028" s="9" t="n">
        <v>36</v>
      </c>
      <c r="B1028" s="9" t="n">
        <v>25</v>
      </c>
      <c r="C1028" s="9" t="n">
        <v>11</v>
      </c>
      <c r="D1028" s="9" t="n">
        <v>5</v>
      </c>
      <c r="E1028" s="10">
        <f>COMBIN(A1028,D1028)/COMBIN(A1028-B1028,D1028)</f>
        <v/>
      </c>
      <c r="F1028" s="11">
        <f>ROUNDUP(E1028*Controls!$B$4,4)</f>
        <v/>
      </c>
      <c r="G1028" s="12">
        <f>F1028/E1028</f>
        <v/>
      </c>
      <c r="H1028" s="10">
        <f>(A1028-B1028-(D1028-1))/(A1028-(D1028-1))</f>
        <v/>
      </c>
      <c r="I1028" s="9">
        <f>A1028&amp;'x'&amp;B1028</f>
        <v/>
      </c>
      <c r="J1028" s="9">
        <f>IF(AND(G1028&gt;0.9,G1028&lt;1),"OK","CHECK")</f>
        <v/>
      </c>
    </row>
    <row r="1029">
      <c r="A1029" s="9" t="n">
        <v>36</v>
      </c>
      <c r="B1029" s="9" t="n">
        <v>25</v>
      </c>
      <c r="C1029" s="9" t="n">
        <v>11</v>
      </c>
      <c r="D1029" s="9" t="n">
        <v>6</v>
      </c>
      <c r="E1029" s="10">
        <f>COMBIN(A1029,D1029)/COMBIN(A1029-B1029,D1029)</f>
        <v/>
      </c>
      <c r="F1029" s="11">
        <f>ROUNDUP(E1029*Controls!$B$4,4)</f>
        <v/>
      </c>
      <c r="G1029" s="12">
        <f>F1029/E1029</f>
        <v/>
      </c>
      <c r="H1029" s="10">
        <f>(A1029-B1029-(D1029-1))/(A1029-(D1029-1))</f>
        <v/>
      </c>
      <c r="I1029" s="9">
        <f>A1029&amp;'x'&amp;B1029</f>
        <v/>
      </c>
      <c r="J1029" s="9">
        <f>IF(AND(G1029&gt;0.9,G1029&lt;1),"OK","CHECK")</f>
        <v/>
      </c>
    </row>
    <row r="1030">
      <c r="A1030" s="9" t="n">
        <v>36</v>
      </c>
      <c r="B1030" s="9" t="n">
        <v>25</v>
      </c>
      <c r="C1030" s="9" t="n">
        <v>11</v>
      </c>
      <c r="D1030" s="9" t="n">
        <v>7</v>
      </c>
      <c r="E1030" s="10">
        <f>COMBIN(A1030,D1030)/COMBIN(A1030-B1030,D1030)</f>
        <v/>
      </c>
      <c r="F1030" s="11">
        <f>ROUNDUP(E1030*Controls!$B$4,4)</f>
        <v/>
      </c>
      <c r="G1030" s="12">
        <f>F1030/E1030</f>
        <v/>
      </c>
      <c r="H1030" s="10">
        <f>(A1030-B1030-(D1030-1))/(A1030-(D1030-1))</f>
        <v/>
      </c>
      <c r="I1030" s="9">
        <f>A1030&amp;'x'&amp;B1030</f>
        <v/>
      </c>
      <c r="J1030" s="9">
        <f>IF(AND(G1030&gt;0.9,G1030&lt;1),"OK","CHECK")</f>
        <v/>
      </c>
    </row>
    <row r="1031">
      <c r="A1031" s="9" t="n">
        <v>36</v>
      </c>
      <c r="B1031" s="9" t="n">
        <v>25</v>
      </c>
      <c r="C1031" s="9" t="n">
        <v>11</v>
      </c>
      <c r="D1031" s="9" t="n">
        <v>8</v>
      </c>
      <c r="E1031" s="10">
        <f>COMBIN(A1031,D1031)/COMBIN(A1031-B1031,D1031)</f>
        <v/>
      </c>
      <c r="F1031" s="11">
        <f>ROUNDUP(E1031*Controls!$B$4,4)</f>
        <v/>
      </c>
      <c r="G1031" s="12">
        <f>F1031/E1031</f>
        <v/>
      </c>
      <c r="H1031" s="10">
        <f>(A1031-B1031-(D1031-1))/(A1031-(D1031-1))</f>
        <v/>
      </c>
      <c r="I1031" s="9">
        <f>A1031&amp;'x'&amp;B1031</f>
        <v/>
      </c>
      <c r="J1031" s="9">
        <f>IF(AND(G1031&gt;0.9,G1031&lt;1),"OK","CHECK")</f>
        <v/>
      </c>
    </row>
    <row r="1032">
      <c r="A1032" s="9" t="n">
        <v>36</v>
      </c>
      <c r="B1032" s="9" t="n">
        <v>25</v>
      </c>
      <c r="C1032" s="9" t="n">
        <v>11</v>
      </c>
      <c r="D1032" s="9" t="n">
        <v>9</v>
      </c>
      <c r="E1032" s="10">
        <f>COMBIN(A1032,D1032)/COMBIN(A1032-B1032,D1032)</f>
        <v/>
      </c>
      <c r="F1032" s="11">
        <f>ROUNDUP(E1032*Controls!$B$4,4)</f>
        <v/>
      </c>
      <c r="G1032" s="12">
        <f>F1032/E1032</f>
        <v/>
      </c>
      <c r="H1032" s="10">
        <f>(A1032-B1032-(D1032-1))/(A1032-(D1032-1))</f>
        <v/>
      </c>
      <c r="I1032" s="9">
        <f>A1032&amp;'x'&amp;B1032</f>
        <v/>
      </c>
      <c r="J1032" s="9">
        <f>IF(AND(G1032&gt;0.9,G1032&lt;1),"OK","CHECK")</f>
        <v/>
      </c>
    </row>
    <row r="1033">
      <c r="A1033" s="9" t="n">
        <v>36</v>
      </c>
      <c r="B1033" s="9" t="n">
        <v>25</v>
      </c>
      <c r="C1033" s="9" t="n">
        <v>11</v>
      </c>
      <c r="D1033" s="9" t="n">
        <v>10</v>
      </c>
      <c r="E1033" s="10">
        <f>COMBIN(A1033,D1033)/COMBIN(A1033-B1033,D1033)</f>
        <v/>
      </c>
      <c r="F1033" s="11">
        <f>ROUNDUP(E1033*Controls!$B$4,4)</f>
        <v/>
      </c>
      <c r="G1033" s="12">
        <f>F1033/E1033</f>
        <v/>
      </c>
      <c r="H1033" s="10">
        <f>(A1033-B1033-(D1033-1))/(A1033-(D1033-1))</f>
        <v/>
      </c>
      <c r="I1033" s="9">
        <f>A1033&amp;'x'&amp;B1033</f>
        <v/>
      </c>
      <c r="J1033" s="9">
        <f>IF(AND(G1033&gt;0.9,G1033&lt;1),"OK","CHECK")</f>
        <v/>
      </c>
    </row>
    <row r="1034">
      <c r="A1034" s="9" t="n">
        <v>36</v>
      </c>
      <c r="B1034" s="9" t="n">
        <v>25</v>
      </c>
      <c r="C1034" s="9" t="n">
        <v>11</v>
      </c>
      <c r="D1034" s="9" t="n">
        <v>11</v>
      </c>
      <c r="E1034" s="10">
        <f>COMBIN(A1034,D1034)/COMBIN(A1034-B1034,D1034)</f>
        <v/>
      </c>
      <c r="F1034" s="11">
        <f>ROUNDUP(E1034*Controls!$B$4,4)</f>
        <v/>
      </c>
      <c r="G1034" s="12">
        <f>F1034/E1034</f>
        <v/>
      </c>
      <c r="H1034" s="10">
        <f>(A1034-B1034-(D1034-1))/(A1034-(D1034-1))</f>
        <v/>
      </c>
      <c r="I1034" s="9">
        <f>A1034&amp;'x'&amp;B1034</f>
        <v/>
      </c>
      <c r="J1034" s="9">
        <f>IF(AND(G1034&gt;0.9,G1034&lt;1),"OK","CHECK")</f>
        <v/>
      </c>
    </row>
    <row r="1035">
      <c r="A1035" s="9" t="n">
        <v>36</v>
      </c>
      <c r="B1035" s="9" t="n">
        <v>26</v>
      </c>
      <c r="C1035" s="9" t="n">
        <v>10</v>
      </c>
      <c r="D1035" s="9" t="n">
        <v>1</v>
      </c>
      <c r="E1035" s="10">
        <f>COMBIN(A1035,D1035)/COMBIN(A1035-B1035,D1035)</f>
        <v/>
      </c>
      <c r="F1035" s="11">
        <f>ROUNDUP(E1035*Controls!$B$4,4)</f>
        <v/>
      </c>
      <c r="G1035" s="12">
        <f>F1035/E1035</f>
        <v/>
      </c>
      <c r="H1035" s="10">
        <f>(A1035-B1035-(D1035-1))/(A1035-(D1035-1))</f>
        <v/>
      </c>
      <c r="I1035" s="9">
        <f>A1035&amp;'x'&amp;B1035</f>
        <v/>
      </c>
      <c r="J1035" s="9">
        <f>IF(AND(G1035&gt;0.9,G1035&lt;1),"OK","CHECK")</f>
        <v/>
      </c>
    </row>
    <row r="1036">
      <c r="A1036" s="9" t="n">
        <v>36</v>
      </c>
      <c r="B1036" s="9" t="n">
        <v>26</v>
      </c>
      <c r="C1036" s="9" t="n">
        <v>10</v>
      </c>
      <c r="D1036" s="9" t="n">
        <v>2</v>
      </c>
      <c r="E1036" s="10">
        <f>COMBIN(A1036,D1036)/COMBIN(A1036-B1036,D1036)</f>
        <v/>
      </c>
      <c r="F1036" s="11">
        <f>ROUNDUP(E1036*Controls!$B$4,4)</f>
        <v/>
      </c>
      <c r="G1036" s="12">
        <f>F1036/E1036</f>
        <v/>
      </c>
      <c r="H1036" s="10">
        <f>(A1036-B1036-(D1036-1))/(A1036-(D1036-1))</f>
        <v/>
      </c>
      <c r="I1036" s="9">
        <f>A1036&amp;'x'&amp;B1036</f>
        <v/>
      </c>
      <c r="J1036" s="9">
        <f>IF(AND(G1036&gt;0.9,G1036&lt;1),"OK","CHECK")</f>
        <v/>
      </c>
    </row>
    <row r="1037">
      <c r="A1037" s="9" t="n">
        <v>36</v>
      </c>
      <c r="B1037" s="9" t="n">
        <v>26</v>
      </c>
      <c r="C1037" s="9" t="n">
        <v>10</v>
      </c>
      <c r="D1037" s="9" t="n">
        <v>3</v>
      </c>
      <c r="E1037" s="10">
        <f>COMBIN(A1037,D1037)/COMBIN(A1037-B1037,D1037)</f>
        <v/>
      </c>
      <c r="F1037" s="11">
        <f>ROUNDUP(E1037*Controls!$B$4,4)</f>
        <v/>
      </c>
      <c r="G1037" s="12">
        <f>F1037/E1037</f>
        <v/>
      </c>
      <c r="H1037" s="10">
        <f>(A1037-B1037-(D1037-1))/(A1037-(D1037-1))</f>
        <v/>
      </c>
      <c r="I1037" s="9">
        <f>A1037&amp;'x'&amp;B1037</f>
        <v/>
      </c>
      <c r="J1037" s="9">
        <f>IF(AND(G1037&gt;0.9,G1037&lt;1),"OK","CHECK")</f>
        <v/>
      </c>
    </row>
    <row r="1038">
      <c r="A1038" s="9" t="n">
        <v>36</v>
      </c>
      <c r="B1038" s="9" t="n">
        <v>26</v>
      </c>
      <c r="C1038" s="9" t="n">
        <v>10</v>
      </c>
      <c r="D1038" s="9" t="n">
        <v>4</v>
      </c>
      <c r="E1038" s="10">
        <f>COMBIN(A1038,D1038)/COMBIN(A1038-B1038,D1038)</f>
        <v/>
      </c>
      <c r="F1038" s="11">
        <f>ROUNDUP(E1038*Controls!$B$4,4)</f>
        <v/>
      </c>
      <c r="G1038" s="12">
        <f>F1038/E1038</f>
        <v/>
      </c>
      <c r="H1038" s="10">
        <f>(A1038-B1038-(D1038-1))/(A1038-(D1038-1))</f>
        <v/>
      </c>
      <c r="I1038" s="9">
        <f>A1038&amp;'x'&amp;B1038</f>
        <v/>
      </c>
      <c r="J1038" s="9">
        <f>IF(AND(G1038&gt;0.9,G1038&lt;1),"OK","CHECK")</f>
        <v/>
      </c>
    </row>
    <row r="1039">
      <c r="A1039" s="9" t="n">
        <v>36</v>
      </c>
      <c r="B1039" s="9" t="n">
        <v>26</v>
      </c>
      <c r="C1039" s="9" t="n">
        <v>10</v>
      </c>
      <c r="D1039" s="9" t="n">
        <v>5</v>
      </c>
      <c r="E1039" s="10">
        <f>COMBIN(A1039,D1039)/COMBIN(A1039-B1039,D1039)</f>
        <v/>
      </c>
      <c r="F1039" s="11">
        <f>ROUNDUP(E1039*Controls!$B$4,4)</f>
        <v/>
      </c>
      <c r="G1039" s="12">
        <f>F1039/E1039</f>
        <v/>
      </c>
      <c r="H1039" s="10">
        <f>(A1039-B1039-(D1039-1))/(A1039-(D1039-1))</f>
        <v/>
      </c>
      <c r="I1039" s="9">
        <f>A1039&amp;'x'&amp;B1039</f>
        <v/>
      </c>
      <c r="J1039" s="9">
        <f>IF(AND(G1039&gt;0.9,G1039&lt;1),"OK","CHECK")</f>
        <v/>
      </c>
    </row>
    <row r="1040">
      <c r="A1040" s="9" t="n">
        <v>36</v>
      </c>
      <c r="B1040" s="9" t="n">
        <v>26</v>
      </c>
      <c r="C1040" s="9" t="n">
        <v>10</v>
      </c>
      <c r="D1040" s="9" t="n">
        <v>6</v>
      </c>
      <c r="E1040" s="10">
        <f>COMBIN(A1040,D1040)/COMBIN(A1040-B1040,D1040)</f>
        <v/>
      </c>
      <c r="F1040" s="11">
        <f>ROUNDUP(E1040*Controls!$B$4,4)</f>
        <v/>
      </c>
      <c r="G1040" s="12">
        <f>F1040/E1040</f>
        <v/>
      </c>
      <c r="H1040" s="10">
        <f>(A1040-B1040-(D1040-1))/(A1040-(D1040-1))</f>
        <v/>
      </c>
      <c r="I1040" s="9">
        <f>A1040&amp;'x'&amp;B1040</f>
        <v/>
      </c>
      <c r="J1040" s="9">
        <f>IF(AND(G1040&gt;0.9,G1040&lt;1),"OK","CHECK")</f>
        <v/>
      </c>
    </row>
    <row r="1041">
      <c r="A1041" s="9" t="n">
        <v>36</v>
      </c>
      <c r="B1041" s="9" t="n">
        <v>26</v>
      </c>
      <c r="C1041" s="9" t="n">
        <v>10</v>
      </c>
      <c r="D1041" s="9" t="n">
        <v>7</v>
      </c>
      <c r="E1041" s="10">
        <f>COMBIN(A1041,D1041)/COMBIN(A1041-B1041,D1041)</f>
        <v/>
      </c>
      <c r="F1041" s="11">
        <f>ROUNDUP(E1041*Controls!$B$4,4)</f>
        <v/>
      </c>
      <c r="G1041" s="12">
        <f>F1041/E1041</f>
        <v/>
      </c>
      <c r="H1041" s="10">
        <f>(A1041-B1041-(D1041-1))/(A1041-(D1041-1))</f>
        <v/>
      </c>
      <c r="I1041" s="9">
        <f>A1041&amp;'x'&amp;B1041</f>
        <v/>
      </c>
      <c r="J1041" s="9">
        <f>IF(AND(G1041&gt;0.9,G1041&lt;1),"OK","CHECK")</f>
        <v/>
      </c>
    </row>
    <row r="1042">
      <c r="A1042" s="9" t="n">
        <v>36</v>
      </c>
      <c r="B1042" s="9" t="n">
        <v>26</v>
      </c>
      <c r="C1042" s="9" t="n">
        <v>10</v>
      </c>
      <c r="D1042" s="9" t="n">
        <v>8</v>
      </c>
      <c r="E1042" s="10">
        <f>COMBIN(A1042,D1042)/COMBIN(A1042-B1042,D1042)</f>
        <v/>
      </c>
      <c r="F1042" s="11">
        <f>ROUNDUP(E1042*Controls!$B$4,4)</f>
        <v/>
      </c>
      <c r="G1042" s="12">
        <f>F1042/E1042</f>
        <v/>
      </c>
      <c r="H1042" s="10">
        <f>(A1042-B1042-(D1042-1))/(A1042-(D1042-1))</f>
        <v/>
      </c>
      <c r="I1042" s="9">
        <f>A1042&amp;'x'&amp;B1042</f>
        <v/>
      </c>
      <c r="J1042" s="9">
        <f>IF(AND(G1042&gt;0.9,G1042&lt;1),"OK","CHECK")</f>
        <v/>
      </c>
    </row>
    <row r="1043">
      <c r="A1043" s="9" t="n">
        <v>36</v>
      </c>
      <c r="B1043" s="9" t="n">
        <v>26</v>
      </c>
      <c r="C1043" s="9" t="n">
        <v>10</v>
      </c>
      <c r="D1043" s="9" t="n">
        <v>9</v>
      </c>
      <c r="E1043" s="10">
        <f>COMBIN(A1043,D1043)/COMBIN(A1043-B1043,D1043)</f>
        <v/>
      </c>
      <c r="F1043" s="11">
        <f>ROUNDUP(E1043*Controls!$B$4,4)</f>
        <v/>
      </c>
      <c r="G1043" s="12">
        <f>F1043/E1043</f>
        <v/>
      </c>
      <c r="H1043" s="10">
        <f>(A1043-B1043-(D1043-1))/(A1043-(D1043-1))</f>
        <v/>
      </c>
      <c r="I1043" s="9">
        <f>A1043&amp;'x'&amp;B1043</f>
        <v/>
      </c>
      <c r="J1043" s="9">
        <f>IF(AND(G1043&gt;0.9,G1043&lt;1),"OK","CHECK")</f>
        <v/>
      </c>
    </row>
    <row r="1044">
      <c r="A1044" s="9" t="n">
        <v>36</v>
      </c>
      <c r="B1044" s="9" t="n">
        <v>26</v>
      </c>
      <c r="C1044" s="9" t="n">
        <v>10</v>
      </c>
      <c r="D1044" s="9" t="n">
        <v>10</v>
      </c>
      <c r="E1044" s="10">
        <f>COMBIN(A1044,D1044)/COMBIN(A1044-B1044,D1044)</f>
        <v/>
      </c>
      <c r="F1044" s="11">
        <f>ROUNDUP(E1044*Controls!$B$4,4)</f>
        <v/>
      </c>
      <c r="G1044" s="12">
        <f>F1044/E1044</f>
        <v/>
      </c>
      <c r="H1044" s="10">
        <f>(A1044-B1044-(D1044-1))/(A1044-(D1044-1))</f>
        <v/>
      </c>
      <c r="I1044" s="9">
        <f>A1044&amp;'x'&amp;B1044</f>
        <v/>
      </c>
      <c r="J1044" s="9">
        <f>IF(AND(G1044&gt;0.9,G1044&lt;1),"OK","CHECK")</f>
        <v/>
      </c>
    </row>
    <row r="1045">
      <c r="A1045" s="9" t="n">
        <v>36</v>
      </c>
      <c r="B1045" s="9" t="n">
        <v>27</v>
      </c>
      <c r="C1045" s="9" t="n">
        <v>9</v>
      </c>
      <c r="D1045" s="9" t="n">
        <v>1</v>
      </c>
      <c r="E1045" s="10">
        <f>COMBIN(A1045,D1045)/COMBIN(A1045-B1045,D1045)</f>
        <v/>
      </c>
      <c r="F1045" s="11">
        <f>ROUNDUP(E1045*Controls!$B$4,4)</f>
        <v/>
      </c>
      <c r="G1045" s="12">
        <f>F1045/E1045</f>
        <v/>
      </c>
      <c r="H1045" s="10">
        <f>(A1045-B1045-(D1045-1))/(A1045-(D1045-1))</f>
        <v/>
      </c>
      <c r="I1045" s="9">
        <f>A1045&amp;'x'&amp;B1045</f>
        <v/>
      </c>
      <c r="J1045" s="9">
        <f>IF(AND(G1045&gt;0.9,G1045&lt;1),"OK","CHECK")</f>
        <v/>
      </c>
    </row>
    <row r="1046">
      <c r="A1046" s="9" t="n">
        <v>36</v>
      </c>
      <c r="B1046" s="9" t="n">
        <v>27</v>
      </c>
      <c r="C1046" s="9" t="n">
        <v>9</v>
      </c>
      <c r="D1046" s="9" t="n">
        <v>2</v>
      </c>
      <c r="E1046" s="10">
        <f>COMBIN(A1046,D1046)/COMBIN(A1046-B1046,D1046)</f>
        <v/>
      </c>
      <c r="F1046" s="11">
        <f>ROUNDUP(E1046*Controls!$B$4,4)</f>
        <v/>
      </c>
      <c r="G1046" s="12">
        <f>F1046/E1046</f>
        <v/>
      </c>
      <c r="H1046" s="10">
        <f>(A1046-B1046-(D1046-1))/(A1046-(D1046-1))</f>
        <v/>
      </c>
      <c r="I1046" s="9">
        <f>A1046&amp;'x'&amp;B1046</f>
        <v/>
      </c>
      <c r="J1046" s="9">
        <f>IF(AND(G1046&gt;0.9,G1046&lt;1),"OK","CHECK")</f>
        <v/>
      </c>
    </row>
    <row r="1047">
      <c r="A1047" s="9" t="n">
        <v>36</v>
      </c>
      <c r="B1047" s="9" t="n">
        <v>27</v>
      </c>
      <c r="C1047" s="9" t="n">
        <v>9</v>
      </c>
      <c r="D1047" s="9" t="n">
        <v>3</v>
      </c>
      <c r="E1047" s="10">
        <f>COMBIN(A1047,D1047)/COMBIN(A1047-B1047,D1047)</f>
        <v/>
      </c>
      <c r="F1047" s="11">
        <f>ROUNDUP(E1047*Controls!$B$4,4)</f>
        <v/>
      </c>
      <c r="G1047" s="12">
        <f>F1047/E1047</f>
        <v/>
      </c>
      <c r="H1047" s="10">
        <f>(A1047-B1047-(D1047-1))/(A1047-(D1047-1))</f>
        <v/>
      </c>
      <c r="I1047" s="9">
        <f>A1047&amp;'x'&amp;B1047</f>
        <v/>
      </c>
      <c r="J1047" s="9">
        <f>IF(AND(G1047&gt;0.9,G1047&lt;1),"OK","CHECK")</f>
        <v/>
      </c>
    </row>
    <row r="1048">
      <c r="A1048" s="9" t="n">
        <v>36</v>
      </c>
      <c r="B1048" s="9" t="n">
        <v>27</v>
      </c>
      <c r="C1048" s="9" t="n">
        <v>9</v>
      </c>
      <c r="D1048" s="9" t="n">
        <v>4</v>
      </c>
      <c r="E1048" s="10">
        <f>COMBIN(A1048,D1048)/COMBIN(A1048-B1048,D1048)</f>
        <v/>
      </c>
      <c r="F1048" s="11">
        <f>ROUNDUP(E1048*Controls!$B$4,4)</f>
        <v/>
      </c>
      <c r="G1048" s="12">
        <f>F1048/E1048</f>
        <v/>
      </c>
      <c r="H1048" s="10">
        <f>(A1048-B1048-(D1048-1))/(A1048-(D1048-1))</f>
        <v/>
      </c>
      <c r="I1048" s="9">
        <f>A1048&amp;'x'&amp;B1048</f>
        <v/>
      </c>
      <c r="J1048" s="9">
        <f>IF(AND(G1048&gt;0.9,G1048&lt;1),"OK","CHECK")</f>
        <v/>
      </c>
    </row>
    <row r="1049">
      <c r="A1049" s="9" t="n">
        <v>36</v>
      </c>
      <c r="B1049" s="9" t="n">
        <v>27</v>
      </c>
      <c r="C1049" s="9" t="n">
        <v>9</v>
      </c>
      <c r="D1049" s="9" t="n">
        <v>5</v>
      </c>
      <c r="E1049" s="10">
        <f>COMBIN(A1049,D1049)/COMBIN(A1049-B1049,D1049)</f>
        <v/>
      </c>
      <c r="F1049" s="11">
        <f>ROUNDUP(E1049*Controls!$B$4,4)</f>
        <v/>
      </c>
      <c r="G1049" s="12">
        <f>F1049/E1049</f>
        <v/>
      </c>
      <c r="H1049" s="10">
        <f>(A1049-B1049-(D1049-1))/(A1049-(D1049-1))</f>
        <v/>
      </c>
      <c r="I1049" s="9">
        <f>A1049&amp;'x'&amp;B1049</f>
        <v/>
      </c>
      <c r="J1049" s="9">
        <f>IF(AND(G1049&gt;0.9,G1049&lt;1),"OK","CHECK")</f>
        <v/>
      </c>
    </row>
    <row r="1050">
      <c r="A1050" s="9" t="n">
        <v>36</v>
      </c>
      <c r="B1050" s="9" t="n">
        <v>27</v>
      </c>
      <c r="C1050" s="9" t="n">
        <v>9</v>
      </c>
      <c r="D1050" s="9" t="n">
        <v>6</v>
      </c>
      <c r="E1050" s="10">
        <f>COMBIN(A1050,D1050)/COMBIN(A1050-B1050,D1050)</f>
        <v/>
      </c>
      <c r="F1050" s="11">
        <f>ROUNDUP(E1050*Controls!$B$4,4)</f>
        <v/>
      </c>
      <c r="G1050" s="12">
        <f>F1050/E1050</f>
        <v/>
      </c>
      <c r="H1050" s="10">
        <f>(A1050-B1050-(D1050-1))/(A1050-(D1050-1))</f>
        <v/>
      </c>
      <c r="I1050" s="9">
        <f>A1050&amp;'x'&amp;B1050</f>
        <v/>
      </c>
      <c r="J1050" s="9">
        <f>IF(AND(G1050&gt;0.9,G1050&lt;1),"OK","CHECK")</f>
        <v/>
      </c>
    </row>
    <row r="1051">
      <c r="A1051" s="9" t="n">
        <v>36</v>
      </c>
      <c r="B1051" s="9" t="n">
        <v>27</v>
      </c>
      <c r="C1051" s="9" t="n">
        <v>9</v>
      </c>
      <c r="D1051" s="9" t="n">
        <v>7</v>
      </c>
      <c r="E1051" s="10">
        <f>COMBIN(A1051,D1051)/COMBIN(A1051-B1051,D1051)</f>
        <v/>
      </c>
      <c r="F1051" s="11">
        <f>ROUNDUP(E1051*Controls!$B$4,4)</f>
        <v/>
      </c>
      <c r="G1051" s="12">
        <f>F1051/E1051</f>
        <v/>
      </c>
      <c r="H1051" s="10">
        <f>(A1051-B1051-(D1051-1))/(A1051-(D1051-1))</f>
        <v/>
      </c>
      <c r="I1051" s="9">
        <f>A1051&amp;'x'&amp;B1051</f>
        <v/>
      </c>
      <c r="J1051" s="9">
        <f>IF(AND(G1051&gt;0.9,G1051&lt;1),"OK","CHECK")</f>
        <v/>
      </c>
    </row>
    <row r="1052">
      <c r="A1052" s="9" t="n">
        <v>36</v>
      </c>
      <c r="B1052" s="9" t="n">
        <v>27</v>
      </c>
      <c r="C1052" s="9" t="n">
        <v>9</v>
      </c>
      <c r="D1052" s="9" t="n">
        <v>8</v>
      </c>
      <c r="E1052" s="10">
        <f>COMBIN(A1052,D1052)/COMBIN(A1052-B1052,D1052)</f>
        <v/>
      </c>
      <c r="F1052" s="11">
        <f>ROUNDUP(E1052*Controls!$B$4,4)</f>
        <v/>
      </c>
      <c r="G1052" s="12">
        <f>F1052/E1052</f>
        <v/>
      </c>
      <c r="H1052" s="10">
        <f>(A1052-B1052-(D1052-1))/(A1052-(D1052-1))</f>
        <v/>
      </c>
      <c r="I1052" s="9">
        <f>A1052&amp;'x'&amp;B1052</f>
        <v/>
      </c>
      <c r="J1052" s="9">
        <f>IF(AND(G1052&gt;0.9,G1052&lt;1),"OK","CHECK")</f>
        <v/>
      </c>
    </row>
    <row r="1053">
      <c r="A1053" s="9" t="n">
        <v>36</v>
      </c>
      <c r="B1053" s="9" t="n">
        <v>27</v>
      </c>
      <c r="C1053" s="9" t="n">
        <v>9</v>
      </c>
      <c r="D1053" s="9" t="n">
        <v>9</v>
      </c>
      <c r="E1053" s="10">
        <f>COMBIN(A1053,D1053)/COMBIN(A1053-B1053,D1053)</f>
        <v/>
      </c>
      <c r="F1053" s="11">
        <f>ROUNDUP(E1053*Controls!$B$4,4)</f>
        <v/>
      </c>
      <c r="G1053" s="12">
        <f>F1053/E1053</f>
        <v/>
      </c>
      <c r="H1053" s="10">
        <f>(A1053-B1053-(D1053-1))/(A1053-(D1053-1))</f>
        <v/>
      </c>
      <c r="I1053" s="9">
        <f>A1053&amp;'x'&amp;B1053</f>
        <v/>
      </c>
      <c r="J1053" s="9">
        <f>IF(AND(G1053&gt;0.9,G1053&lt;1),"OK","CHECK")</f>
        <v/>
      </c>
    </row>
    <row r="1054">
      <c r="A1054" s="9" t="n">
        <v>36</v>
      </c>
      <c r="B1054" s="9" t="n">
        <v>28</v>
      </c>
      <c r="C1054" s="9" t="n">
        <v>8</v>
      </c>
      <c r="D1054" s="9" t="n">
        <v>1</v>
      </c>
      <c r="E1054" s="10">
        <f>COMBIN(A1054,D1054)/COMBIN(A1054-B1054,D1054)</f>
        <v/>
      </c>
      <c r="F1054" s="11">
        <f>ROUNDUP(E1054*Controls!$B$4,4)</f>
        <v/>
      </c>
      <c r="G1054" s="12">
        <f>F1054/E1054</f>
        <v/>
      </c>
      <c r="H1054" s="10">
        <f>(A1054-B1054-(D1054-1))/(A1054-(D1054-1))</f>
        <v/>
      </c>
      <c r="I1054" s="9">
        <f>A1054&amp;'x'&amp;B1054</f>
        <v/>
      </c>
      <c r="J1054" s="9">
        <f>IF(AND(G1054&gt;0.9,G1054&lt;1),"OK","CHECK")</f>
        <v/>
      </c>
    </row>
    <row r="1055">
      <c r="A1055" s="9" t="n">
        <v>36</v>
      </c>
      <c r="B1055" s="9" t="n">
        <v>28</v>
      </c>
      <c r="C1055" s="9" t="n">
        <v>8</v>
      </c>
      <c r="D1055" s="9" t="n">
        <v>2</v>
      </c>
      <c r="E1055" s="10">
        <f>COMBIN(A1055,D1055)/COMBIN(A1055-B1055,D1055)</f>
        <v/>
      </c>
      <c r="F1055" s="11">
        <f>ROUNDUP(E1055*Controls!$B$4,4)</f>
        <v/>
      </c>
      <c r="G1055" s="12">
        <f>F1055/E1055</f>
        <v/>
      </c>
      <c r="H1055" s="10">
        <f>(A1055-B1055-(D1055-1))/(A1055-(D1055-1))</f>
        <v/>
      </c>
      <c r="I1055" s="9">
        <f>A1055&amp;'x'&amp;B1055</f>
        <v/>
      </c>
      <c r="J1055" s="9">
        <f>IF(AND(G1055&gt;0.9,G1055&lt;1),"OK","CHECK")</f>
        <v/>
      </c>
    </row>
    <row r="1056">
      <c r="A1056" s="9" t="n">
        <v>36</v>
      </c>
      <c r="B1056" s="9" t="n">
        <v>28</v>
      </c>
      <c r="C1056" s="9" t="n">
        <v>8</v>
      </c>
      <c r="D1056" s="9" t="n">
        <v>3</v>
      </c>
      <c r="E1056" s="10">
        <f>COMBIN(A1056,D1056)/COMBIN(A1056-B1056,D1056)</f>
        <v/>
      </c>
      <c r="F1056" s="11">
        <f>ROUNDUP(E1056*Controls!$B$4,4)</f>
        <v/>
      </c>
      <c r="G1056" s="12">
        <f>F1056/E1056</f>
        <v/>
      </c>
      <c r="H1056" s="10">
        <f>(A1056-B1056-(D1056-1))/(A1056-(D1056-1))</f>
        <v/>
      </c>
      <c r="I1056" s="9">
        <f>A1056&amp;'x'&amp;B1056</f>
        <v/>
      </c>
      <c r="J1056" s="9">
        <f>IF(AND(G1056&gt;0.9,G1056&lt;1),"OK","CHECK")</f>
        <v/>
      </c>
    </row>
    <row r="1057">
      <c r="A1057" s="9" t="n">
        <v>36</v>
      </c>
      <c r="B1057" s="9" t="n">
        <v>28</v>
      </c>
      <c r="C1057" s="9" t="n">
        <v>8</v>
      </c>
      <c r="D1057" s="9" t="n">
        <v>4</v>
      </c>
      <c r="E1057" s="10">
        <f>COMBIN(A1057,D1057)/COMBIN(A1057-B1057,D1057)</f>
        <v/>
      </c>
      <c r="F1057" s="11">
        <f>ROUNDUP(E1057*Controls!$B$4,4)</f>
        <v/>
      </c>
      <c r="G1057" s="12">
        <f>F1057/E1057</f>
        <v/>
      </c>
      <c r="H1057" s="10">
        <f>(A1057-B1057-(D1057-1))/(A1057-(D1057-1))</f>
        <v/>
      </c>
      <c r="I1057" s="9">
        <f>A1057&amp;'x'&amp;B1057</f>
        <v/>
      </c>
      <c r="J1057" s="9">
        <f>IF(AND(G1057&gt;0.9,G1057&lt;1),"OK","CHECK")</f>
        <v/>
      </c>
    </row>
    <row r="1058">
      <c r="A1058" s="9" t="n">
        <v>36</v>
      </c>
      <c r="B1058" s="9" t="n">
        <v>28</v>
      </c>
      <c r="C1058" s="9" t="n">
        <v>8</v>
      </c>
      <c r="D1058" s="9" t="n">
        <v>5</v>
      </c>
      <c r="E1058" s="10">
        <f>COMBIN(A1058,D1058)/COMBIN(A1058-B1058,D1058)</f>
        <v/>
      </c>
      <c r="F1058" s="11">
        <f>ROUNDUP(E1058*Controls!$B$4,4)</f>
        <v/>
      </c>
      <c r="G1058" s="12">
        <f>F1058/E1058</f>
        <v/>
      </c>
      <c r="H1058" s="10">
        <f>(A1058-B1058-(D1058-1))/(A1058-(D1058-1))</f>
        <v/>
      </c>
      <c r="I1058" s="9">
        <f>A1058&amp;'x'&amp;B1058</f>
        <v/>
      </c>
      <c r="J1058" s="9">
        <f>IF(AND(G1058&gt;0.9,G1058&lt;1),"OK","CHECK")</f>
        <v/>
      </c>
    </row>
    <row r="1059">
      <c r="A1059" s="9" t="n">
        <v>36</v>
      </c>
      <c r="B1059" s="9" t="n">
        <v>28</v>
      </c>
      <c r="C1059" s="9" t="n">
        <v>8</v>
      </c>
      <c r="D1059" s="9" t="n">
        <v>6</v>
      </c>
      <c r="E1059" s="10">
        <f>COMBIN(A1059,D1059)/COMBIN(A1059-B1059,D1059)</f>
        <v/>
      </c>
      <c r="F1059" s="11">
        <f>ROUNDUP(E1059*Controls!$B$4,4)</f>
        <v/>
      </c>
      <c r="G1059" s="12">
        <f>F1059/E1059</f>
        <v/>
      </c>
      <c r="H1059" s="10">
        <f>(A1059-B1059-(D1059-1))/(A1059-(D1059-1))</f>
        <v/>
      </c>
      <c r="I1059" s="9">
        <f>A1059&amp;'x'&amp;B1059</f>
        <v/>
      </c>
      <c r="J1059" s="9">
        <f>IF(AND(G1059&gt;0.9,G1059&lt;1),"OK","CHECK")</f>
        <v/>
      </c>
    </row>
    <row r="1060">
      <c r="A1060" s="9" t="n">
        <v>36</v>
      </c>
      <c r="B1060" s="9" t="n">
        <v>28</v>
      </c>
      <c r="C1060" s="9" t="n">
        <v>8</v>
      </c>
      <c r="D1060" s="9" t="n">
        <v>7</v>
      </c>
      <c r="E1060" s="10">
        <f>COMBIN(A1060,D1060)/COMBIN(A1060-B1060,D1060)</f>
        <v/>
      </c>
      <c r="F1060" s="11">
        <f>ROUNDUP(E1060*Controls!$B$4,4)</f>
        <v/>
      </c>
      <c r="G1060" s="12">
        <f>F1060/E1060</f>
        <v/>
      </c>
      <c r="H1060" s="10">
        <f>(A1060-B1060-(D1060-1))/(A1060-(D1060-1))</f>
        <v/>
      </c>
      <c r="I1060" s="9">
        <f>A1060&amp;'x'&amp;B1060</f>
        <v/>
      </c>
      <c r="J1060" s="9">
        <f>IF(AND(G1060&gt;0.9,G1060&lt;1),"OK","CHECK")</f>
        <v/>
      </c>
    </row>
    <row r="1061">
      <c r="A1061" s="9" t="n">
        <v>36</v>
      </c>
      <c r="B1061" s="9" t="n">
        <v>28</v>
      </c>
      <c r="C1061" s="9" t="n">
        <v>8</v>
      </c>
      <c r="D1061" s="9" t="n">
        <v>8</v>
      </c>
      <c r="E1061" s="10">
        <f>COMBIN(A1061,D1061)/COMBIN(A1061-B1061,D1061)</f>
        <v/>
      </c>
      <c r="F1061" s="11">
        <f>ROUNDUP(E1061*Controls!$B$4,4)</f>
        <v/>
      </c>
      <c r="G1061" s="12">
        <f>F1061/E1061</f>
        <v/>
      </c>
      <c r="H1061" s="10">
        <f>(A1061-B1061-(D1061-1))/(A1061-(D1061-1))</f>
        <v/>
      </c>
      <c r="I1061" s="9">
        <f>A1061&amp;'x'&amp;B1061</f>
        <v/>
      </c>
      <c r="J1061" s="9">
        <f>IF(AND(G1061&gt;0.9,G1061&lt;1),"OK","CHECK")</f>
        <v/>
      </c>
    </row>
    <row r="1062">
      <c r="A1062" s="9" t="n">
        <v>36</v>
      </c>
      <c r="B1062" s="9" t="n">
        <v>29</v>
      </c>
      <c r="C1062" s="9" t="n">
        <v>7</v>
      </c>
      <c r="D1062" s="9" t="n">
        <v>1</v>
      </c>
      <c r="E1062" s="10">
        <f>COMBIN(A1062,D1062)/COMBIN(A1062-B1062,D1062)</f>
        <v/>
      </c>
      <c r="F1062" s="11">
        <f>ROUNDUP(E1062*Controls!$B$4,4)</f>
        <v/>
      </c>
      <c r="G1062" s="12">
        <f>F1062/E1062</f>
        <v/>
      </c>
      <c r="H1062" s="10">
        <f>(A1062-B1062-(D1062-1))/(A1062-(D1062-1))</f>
        <v/>
      </c>
      <c r="I1062" s="9">
        <f>A1062&amp;'x'&amp;B1062</f>
        <v/>
      </c>
      <c r="J1062" s="9">
        <f>IF(AND(G1062&gt;0.9,G1062&lt;1),"OK","CHECK")</f>
        <v/>
      </c>
    </row>
    <row r="1063">
      <c r="A1063" s="9" t="n">
        <v>36</v>
      </c>
      <c r="B1063" s="9" t="n">
        <v>29</v>
      </c>
      <c r="C1063" s="9" t="n">
        <v>7</v>
      </c>
      <c r="D1063" s="9" t="n">
        <v>2</v>
      </c>
      <c r="E1063" s="10">
        <f>COMBIN(A1063,D1063)/COMBIN(A1063-B1063,D1063)</f>
        <v/>
      </c>
      <c r="F1063" s="11">
        <f>ROUNDUP(E1063*Controls!$B$4,4)</f>
        <v/>
      </c>
      <c r="G1063" s="12">
        <f>F1063/E1063</f>
        <v/>
      </c>
      <c r="H1063" s="10">
        <f>(A1063-B1063-(D1063-1))/(A1063-(D1063-1))</f>
        <v/>
      </c>
      <c r="I1063" s="9">
        <f>A1063&amp;'x'&amp;B1063</f>
        <v/>
      </c>
      <c r="J1063" s="9">
        <f>IF(AND(G1063&gt;0.9,G1063&lt;1),"OK","CHECK")</f>
        <v/>
      </c>
    </row>
    <row r="1064">
      <c r="A1064" s="9" t="n">
        <v>36</v>
      </c>
      <c r="B1064" s="9" t="n">
        <v>29</v>
      </c>
      <c r="C1064" s="9" t="n">
        <v>7</v>
      </c>
      <c r="D1064" s="9" t="n">
        <v>3</v>
      </c>
      <c r="E1064" s="10">
        <f>COMBIN(A1064,D1064)/COMBIN(A1064-B1064,D1064)</f>
        <v/>
      </c>
      <c r="F1064" s="11">
        <f>ROUNDUP(E1064*Controls!$B$4,4)</f>
        <v/>
      </c>
      <c r="G1064" s="12">
        <f>F1064/E1064</f>
        <v/>
      </c>
      <c r="H1064" s="10">
        <f>(A1064-B1064-(D1064-1))/(A1064-(D1064-1))</f>
        <v/>
      </c>
      <c r="I1064" s="9">
        <f>A1064&amp;'x'&amp;B1064</f>
        <v/>
      </c>
      <c r="J1064" s="9">
        <f>IF(AND(G1064&gt;0.9,G1064&lt;1),"OK","CHECK")</f>
        <v/>
      </c>
    </row>
    <row r="1065">
      <c r="A1065" s="9" t="n">
        <v>36</v>
      </c>
      <c r="B1065" s="9" t="n">
        <v>29</v>
      </c>
      <c r="C1065" s="9" t="n">
        <v>7</v>
      </c>
      <c r="D1065" s="9" t="n">
        <v>4</v>
      </c>
      <c r="E1065" s="10">
        <f>COMBIN(A1065,D1065)/COMBIN(A1065-B1065,D1065)</f>
        <v/>
      </c>
      <c r="F1065" s="11">
        <f>ROUNDUP(E1065*Controls!$B$4,4)</f>
        <v/>
      </c>
      <c r="G1065" s="12">
        <f>F1065/E1065</f>
        <v/>
      </c>
      <c r="H1065" s="10">
        <f>(A1065-B1065-(D1065-1))/(A1065-(D1065-1))</f>
        <v/>
      </c>
      <c r="I1065" s="9">
        <f>A1065&amp;'x'&amp;B1065</f>
        <v/>
      </c>
      <c r="J1065" s="9">
        <f>IF(AND(G1065&gt;0.9,G1065&lt;1),"OK","CHECK")</f>
        <v/>
      </c>
    </row>
    <row r="1066">
      <c r="A1066" s="9" t="n">
        <v>36</v>
      </c>
      <c r="B1066" s="9" t="n">
        <v>29</v>
      </c>
      <c r="C1066" s="9" t="n">
        <v>7</v>
      </c>
      <c r="D1066" s="9" t="n">
        <v>5</v>
      </c>
      <c r="E1066" s="10">
        <f>COMBIN(A1066,D1066)/COMBIN(A1066-B1066,D1066)</f>
        <v/>
      </c>
      <c r="F1066" s="11">
        <f>ROUNDUP(E1066*Controls!$B$4,4)</f>
        <v/>
      </c>
      <c r="G1066" s="12">
        <f>F1066/E1066</f>
        <v/>
      </c>
      <c r="H1066" s="10">
        <f>(A1066-B1066-(D1066-1))/(A1066-(D1066-1))</f>
        <v/>
      </c>
      <c r="I1066" s="9">
        <f>A1066&amp;'x'&amp;B1066</f>
        <v/>
      </c>
      <c r="J1066" s="9">
        <f>IF(AND(G1066&gt;0.9,G1066&lt;1),"OK","CHECK")</f>
        <v/>
      </c>
    </row>
    <row r="1067">
      <c r="A1067" s="9" t="n">
        <v>36</v>
      </c>
      <c r="B1067" s="9" t="n">
        <v>29</v>
      </c>
      <c r="C1067" s="9" t="n">
        <v>7</v>
      </c>
      <c r="D1067" s="9" t="n">
        <v>6</v>
      </c>
      <c r="E1067" s="10">
        <f>COMBIN(A1067,D1067)/COMBIN(A1067-B1067,D1067)</f>
        <v/>
      </c>
      <c r="F1067" s="11">
        <f>ROUNDUP(E1067*Controls!$B$4,4)</f>
        <v/>
      </c>
      <c r="G1067" s="12">
        <f>F1067/E1067</f>
        <v/>
      </c>
      <c r="H1067" s="10">
        <f>(A1067-B1067-(D1067-1))/(A1067-(D1067-1))</f>
        <v/>
      </c>
      <c r="I1067" s="9">
        <f>A1067&amp;'x'&amp;B1067</f>
        <v/>
      </c>
      <c r="J1067" s="9">
        <f>IF(AND(G1067&gt;0.9,G1067&lt;1),"OK","CHECK")</f>
        <v/>
      </c>
    </row>
    <row r="1068">
      <c r="A1068" s="9" t="n">
        <v>36</v>
      </c>
      <c r="B1068" s="9" t="n">
        <v>29</v>
      </c>
      <c r="C1068" s="9" t="n">
        <v>7</v>
      </c>
      <c r="D1068" s="9" t="n">
        <v>7</v>
      </c>
      <c r="E1068" s="10">
        <f>COMBIN(A1068,D1068)/COMBIN(A1068-B1068,D1068)</f>
        <v/>
      </c>
      <c r="F1068" s="11">
        <f>ROUNDUP(E1068*Controls!$B$4,4)</f>
        <v/>
      </c>
      <c r="G1068" s="12">
        <f>F1068/E1068</f>
        <v/>
      </c>
      <c r="H1068" s="10">
        <f>(A1068-B1068-(D1068-1))/(A1068-(D1068-1))</f>
        <v/>
      </c>
      <c r="I1068" s="9">
        <f>A1068&amp;'x'&amp;B1068</f>
        <v/>
      </c>
      <c r="J1068" s="9">
        <f>IF(AND(G1068&gt;0.9,G1068&lt;1),"OK","CHECK")</f>
        <v/>
      </c>
    </row>
    <row r="1069">
      <c r="A1069" s="9" t="n">
        <v>36</v>
      </c>
      <c r="B1069" s="9" t="n">
        <v>30</v>
      </c>
      <c r="C1069" s="9" t="n">
        <v>6</v>
      </c>
      <c r="D1069" s="9" t="n">
        <v>1</v>
      </c>
      <c r="E1069" s="10">
        <f>COMBIN(A1069,D1069)/COMBIN(A1069-B1069,D1069)</f>
        <v/>
      </c>
      <c r="F1069" s="11">
        <f>ROUNDUP(E1069*Controls!$B$4,4)</f>
        <v/>
      </c>
      <c r="G1069" s="12">
        <f>F1069/E1069</f>
        <v/>
      </c>
      <c r="H1069" s="10">
        <f>(A1069-B1069-(D1069-1))/(A1069-(D1069-1))</f>
        <v/>
      </c>
      <c r="I1069" s="9">
        <f>A1069&amp;'x'&amp;B1069</f>
        <v/>
      </c>
      <c r="J1069" s="9">
        <f>IF(AND(G1069&gt;0.9,G1069&lt;1),"OK","CHECK")</f>
        <v/>
      </c>
    </row>
    <row r="1070">
      <c r="A1070" s="9" t="n">
        <v>36</v>
      </c>
      <c r="B1070" s="9" t="n">
        <v>30</v>
      </c>
      <c r="C1070" s="9" t="n">
        <v>6</v>
      </c>
      <c r="D1070" s="9" t="n">
        <v>2</v>
      </c>
      <c r="E1070" s="10">
        <f>COMBIN(A1070,D1070)/COMBIN(A1070-B1070,D1070)</f>
        <v/>
      </c>
      <c r="F1070" s="11">
        <f>ROUNDUP(E1070*Controls!$B$4,4)</f>
        <v/>
      </c>
      <c r="G1070" s="12">
        <f>F1070/E1070</f>
        <v/>
      </c>
      <c r="H1070" s="10">
        <f>(A1070-B1070-(D1070-1))/(A1070-(D1070-1))</f>
        <v/>
      </c>
      <c r="I1070" s="9">
        <f>A1070&amp;'x'&amp;B1070</f>
        <v/>
      </c>
      <c r="J1070" s="9">
        <f>IF(AND(G1070&gt;0.9,G1070&lt;1),"OK","CHECK")</f>
        <v/>
      </c>
    </row>
    <row r="1071">
      <c r="A1071" s="9" t="n">
        <v>36</v>
      </c>
      <c r="B1071" s="9" t="n">
        <v>30</v>
      </c>
      <c r="C1071" s="9" t="n">
        <v>6</v>
      </c>
      <c r="D1071" s="9" t="n">
        <v>3</v>
      </c>
      <c r="E1071" s="10">
        <f>COMBIN(A1071,D1071)/COMBIN(A1071-B1071,D1071)</f>
        <v/>
      </c>
      <c r="F1071" s="11">
        <f>ROUNDUP(E1071*Controls!$B$4,4)</f>
        <v/>
      </c>
      <c r="G1071" s="12">
        <f>F1071/E1071</f>
        <v/>
      </c>
      <c r="H1071" s="10">
        <f>(A1071-B1071-(D1071-1))/(A1071-(D1071-1))</f>
        <v/>
      </c>
      <c r="I1071" s="9">
        <f>A1071&amp;'x'&amp;B1071</f>
        <v/>
      </c>
      <c r="J1071" s="9">
        <f>IF(AND(G1071&gt;0.9,G1071&lt;1),"OK","CHECK")</f>
        <v/>
      </c>
    </row>
    <row r="1072">
      <c r="A1072" s="9" t="n">
        <v>36</v>
      </c>
      <c r="B1072" s="9" t="n">
        <v>30</v>
      </c>
      <c r="C1072" s="9" t="n">
        <v>6</v>
      </c>
      <c r="D1072" s="9" t="n">
        <v>4</v>
      </c>
      <c r="E1072" s="10">
        <f>COMBIN(A1072,D1072)/COMBIN(A1072-B1072,D1072)</f>
        <v/>
      </c>
      <c r="F1072" s="11">
        <f>ROUNDUP(E1072*Controls!$B$4,4)</f>
        <v/>
      </c>
      <c r="G1072" s="12">
        <f>F1072/E1072</f>
        <v/>
      </c>
      <c r="H1072" s="10">
        <f>(A1072-B1072-(D1072-1))/(A1072-(D1072-1))</f>
        <v/>
      </c>
      <c r="I1072" s="9">
        <f>A1072&amp;'x'&amp;B1072</f>
        <v/>
      </c>
      <c r="J1072" s="9">
        <f>IF(AND(G1072&gt;0.9,G1072&lt;1),"OK","CHECK")</f>
        <v/>
      </c>
    </row>
    <row r="1073">
      <c r="A1073" s="9" t="n">
        <v>36</v>
      </c>
      <c r="B1073" s="9" t="n">
        <v>30</v>
      </c>
      <c r="C1073" s="9" t="n">
        <v>6</v>
      </c>
      <c r="D1073" s="9" t="n">
        <v>5</v>
      </c>
      <c r="E1073" s="10">
        <f>COMBIN(A1073,D1073)/COMBIN(A1073-B1073,D1073)</f>
        <v/>
      </c>
      <c r="F1073" s="11">
        <f>ROUNDUP(E1073*Controls!$B$4,4)</f>
        <v/>
      </c>
      <c r="G1073" s="12">
        <f>F1073/E1073</f>
        <v/>
      </c>
      <c r="H1073" s="10">
        <f>(A1073-B1073-(D1073-1))/(A1073-(D1073-1))</f>
        <v/>
      </c>
      <c r="I1073" s="9">
        <f>A1073&amp;'x'&amp;B1073</f>
        <v/>
      </c>
      <c r="J1073" s="9">
        <f>IF(AND(G1073&gt;0.9,G1073&lt;1),"OK","CHECK")</f>
        <v/>
      </c>
    </row>
    <row r="1074">
      <c r="A1074" s="9" t="n">
        <v>36</v>
      </c>
      <c r="B1074" s="9" t="n">
        <v>30</v>
      </c>
      <c r="C1074" s="9" t="n">
        <v>6</v>
      </c>
      <c r="D1074" s="9" t="n">
        <v>6</v>
      </c>
      <c r="E1074" s="10">
        <f>COMBIN(A1074,D1074)/COMBIN(A1074-B1074,D1074)</f>
        <v/>
      </c>
      <c r="F1074" s="11">
        <f>ROUNDUP(E1074*Controls!$B$4,4)</f>
        <v/>
      </c>
      <c r="G1074" s="12">
        <f>F1074/E1074</f>
        <v/>
      </c>
      <c r="H1074" s="10">
        <f>(A1074-B1074-(D1074-1))/(A1074-(D1074-1))</f>
        <v/>
      </c>
      <c r="I1074" s="9">
        <f>A1074&amp;'x'&amp;B1074</f>
        <v/>
      </c>
      <c r="J1074" s="9">
        <f>IF(AND(G1074&gt;0.9,G1074&lt;1),"OK","CHECK")</f>
        <v/>
      </c>
    </row>
    <row r="1075">
      <c r="A1075" s="9" t="n">
        <v>36</v>
      </c>
      <c r="B1075" s="9" t="n">
        <v>31</v>
      </c>
      <c r="C1075" s="9" t="n">
        <v>5</v>
      </c>
      <c r="D1075" s="9" t="n">
        <v>1</v>
      </c>
      <c r="E1075" s="10">
        <f>COMBIN(A1075,D1075)/COMBIN(A1075-B1075,D1075)</f>
        <v/>
      </c>
      <c r="F1075" s="11">
        <f>ROUNDUP(E1075*Controls!$B$4,4)</f>
        <v/>
      </c>
      <c r="G1075" s="12">
        <f>F1075/E1075</f>
        <v/>
      </c>
      <c r="H1075" s="10">
        <f>(A1075-B1075-(D1075-1))/(A1075-(D1075-1))</f>
        <v/>
      </c>
      <c r="I1075" s="9">
        <f>A1075&amp;'x'&amp;B1075</f>
        <v/>
      </c>
      <c r="J1075" s="9">
        <f>IF(AND(G1075&gt;0.9,G1075&lt;1),"OK","CHECK")</f>
        <v/>
      </c>
    </row>
    <row r="1076">
      <c r="A1076" s="9" t="n">
        <v>36</v>
      </c>
      <c r="B1076" s="9" t="n">
        <v>31</v>
      </c>
      <c r="C1076" s="9" t="n">
        <v>5</v>
      </c>
      <c r="D1076" s="9" t="n">
        <v>2</v>
      </c>
      <c r="E1076" s="10">
        <f>COMBIN(A1076,D1076)/COMBIN(A1076-B1076,D1076)</f>
        <v/>
      </c>
      <c r="F1076" s="11">
        <f>ROUNDUP(E1076*Controls!$B$4,4)</f>
        <v/>
      </c>
      <c r="G1076" s="12">
        <f>F1076/E1076</f>
        <v/>
      </c>
      <c r="H1076" s="10">
        <f>(A1076-B1076-(D1076-1))/(A1076-(D1076-1))</f>
        <v/>
      </c>
      <c r="I1076" s="9">
        <f>A1076&amp;'x'&amp;B1076</f>
        <v/>
      </c>
      <c r="J1076" s="9">
        <f>IF(AND(G1076&gt;0.9,G1076&lt;1),"OK","CHECK")</f>
        <v/>
      </c>
    </row>
    <row r="1077">
      <c r="A1077" s="9" t="n">
        <v>36</v>
      </c>
      <c r="B1077" s="9" t="n">
        <v>31</v>
      </c>
      <c r="C1077" s="9" t="n">
        <v>5</v>
      </c>
      <c r="D1077" s="9" t="n">
        <v>3</v>
      </c>
      <c r="E1077" s="10">
        <f>COMBIN(A1077,D1077)/COMBIN(A1077-B1077,D1077)</f>
        <v/>
      </c>
      <c r="F1077" s="11">
        <f>ROUNDUP(E1077*Controls!$B$4,4)</f>
        <v/>
      </c>
      <c r="G1077" s="12">
        <f>F1077/E1077</f>
        <v/>
      </c>
      <c r="H1077" s="10">
        <f>(A1077-B1077-(D1077-1))/(A1077-(D1077-1))</f>
        <v/>
      </c>
      <c r="I1077" s="9">
        <f>A1077&amp;'x'&amp;B1077</f>
        <v/>
      </c>
      <c r="J1077" s="9">
        <f>IF(AND(G1077&gt;0.9,G1077&lt;1),"OK","CHECK")</f>
        <v/>
      </c>
    </row>
    <row r="1078">
      <c r="A1078" s="9" t="n">
        <v>36</v>
      </c>
      <c r="B1078" s="9" t="n">
        <v>31</v>
      </c>
      <c r="C1078" s="9" t="n">
        <v>5</v>
      </c>
      <c r="D1078" s="9" t="n">
        <v>4</v>
      </c>
      <c r="E1078" s="10">
        <f>COMBIN(A1078,D1078)/COMBIN(A1078-B1078,D1078)</f>
        <v/>
      </c>
      <c r="F1078" s="11">
        <f>ROUNDUP(E1078*Controls!$B$4,4)</f>
        <v/>
      </c>
      <c r="G1078" s="12">
        <f>F1078/E1078</f>
        <v/>
      </c>
      <c r="H1078" s="10">
        <f>(A1078-B1078-(D1078-1))/(A1078-(D1078-1))</f>
        <v/>
      </c>
      <c r="I1078" s="9">
        <f>A1078&amp;'x'&amp;B1078</f>
        <v/>
      </c>
      <c r="J1078" s="9">
        <f>IF(AND(G1078&gt;0.9,G1078&lt;1),"OK","CHECK")</f>
        <v/>
      </c>
    </row>
    <row r="1079">
      <c r="A1079" s="9" t="n">
        <v>36</v>
      </c>
      <c r="B1079" s="9" t="n">
        <v>31</v>
      </c>
      <c r="C1079" s="9" t="n">
        <v>5</v>
      </c>
      <c r="D1079" s="9" t="n">
        <v>5</v>
      </c>
      <c r="E1079" s="10">
        <f>COMBIN(A1079,D1079)/COMBIN(A1079-B1079,D1079)</f>
        <v/>
      </c>
      <c r="F1079" s="11">
        <f>ROUNDUP(E1079*Controls!$B$4,4)</f>
        <v/>
      </c>
      <c r="G1079" s="12">
        <f>F1079/E1079</f>
        <v/>
      </c>
      <c r="H1079" s="10">
        <f>(A1079-B1079-(D1079-1))/(A1079-(D1079-1))</f>
        <v/>
      </c>
      <c r="I1079" s="9">
        <f>A1079&amp;'x'&amp;B1079</f>
        <v/>
      </c>
      <c r="J1079" s="9">
        <f>IF(AND(G1079&gt;0.9,G1079&lt;1),"OK","CHECK")</f>
        <v/>
      </c>
    </row>
    <row r="1080">
      <c r="A1080" s="9" t="n">
        <v>36</v>
      </c>
      <c r="B1080" s="9" t="n">
        <v>32</v>
      </c>
      <c r="C1080" s="9" t="n">
        <v>4</v>
      </c>
      <c r="D1080" s="9" t="n">
        <v>1</v>
      </c>
      <c r="E1080" s="10">
        <f>COMBIN(A1080,D1080)/COMBIN(A1080-B1080,D1080)</f>
        <v/>
      </c>
      <c r="F1080" s="11">
        <f>ROUNDUP(E1080*Controls!$B$4,4)</f>
        <v/>
      </c>
      <c r="G1080" s="12">
        <f>F1080/E1080</f>
        <v/>
      </c>
      <c r="H1080" s="10">
        <f>(A1080-B1080-(D1080-1))/(A1080-(D1080-1))</f>
        <v/>
      </c>
      <c r="I1080" s="9">
        <f>A1080&amp;'x'&amp;B1080</f>
        <v/>
      </c>
      <c r="J1080" s="9">
        <f>IF(AND(G1080&gt;0.9,G1080&lt;1),"OK","CHECK")</f>
        <v/>
      </c>
    </row>
    <row r="1081">
      <c r="A1081" s="9" t="n">
        <v>36</v>
      </c>
      <c r="B1081" s="9" t="n">
        <v>32</v>
      </c>
      <c r="C1081" s="9" t="n">
        <v>4</v>
      </c>
      <c r="D1081" s="9" t="n">
        <v>2</v>
      </c>
      <c r="E1081" s="10">
        <f>COMBIN(A1081,D1081)/COMBIN(A1081-B1081,D1081)</f>
        <v/>
      </c>
      <c r="F1081" s="11">
        <f>ROUNDUP(E1081*Controls!$B$4,4)</f>
        <v/>
      </c>
      <c r="G1081" s="12">
        <f>F1081/E1081</f>
        <v/>
      </c>
      <c r="H1081" s="10">
        <f>(A1081-B1081-(D1081-1))/(A1081-(D1081-1))</f>
        <v/>
      </c>
      <c r="I1081" s="9">
        <f>A1081&amp;'x'&amp;B1081</f>
        <v/>
      </c>
      <c r="J1081" s="9">
        <f>IF(AND(G1081&gt;0.9,G1081&lt;1),"OK","CHECK")</f>
        <v/>
      </c>
    </row>
    <row r="1082">
      <c r="A1082" s="9" t="n">
        <v>36</v>
      </c>
      <c r="B1082" s="9" t="n">
        <v>32</v>
      </c>
      <c r="C1082" s="9" t="n">
        <v>4</v>
      </c>
      <c r="D1082" s="9" t="n">
        <v>3</v>
      </c>
      <c r="E1082" s="10">
        <f>COMBIN(A1082,D1082)/COMBIN(A1082-B1082,D1082)</f>
        <v/>
      </c>
      <c r="F1082" s="11">
        <f>ROUNDUP(E1082*Controls!$B$4,4)</f>
        <v/>
      </c>
      <c r="G1082" s="12">
        <f>F1082/E1082</f>
        <v/>
      </c>
      <c r="H1082" s="10">
        <f>(A1082-B1082-(D1082-1))/(A1082-(D1082-1))</f>
        <v/>
      </c>
      <c r="I1082" s="9">
        <f>A1082&amp;'x'&amp;B1082</f>
        <v/>
      </c>
      <c r="J1082" s="9">
        <f>IF(AND(G1082&gt;0.9,G1082&lt;1),"OK","CHECK")</f>
        <v/>
      </c>
    </row>
    <row r="1083">
      <c r="A1083" s="9" t="n">
        <v>36</v>
      </c>
      <c r="B1083" s="9" t="n">
        <v>32</v>
      </c>
      <c r="C1083" s="9" t="n">
        <v>4</v>
      </c>
      <c r="D1083" s="9" t="n">
        <v>4</v>
      </c>
      <c r="E1083" s="10">
        <f>COMBIN(A1083,D1083)/COMBIN(A1083-B1083,D1083)</f>
        <v/>
      </c>
      <c r="F1083" s="11">
        <f>ROUNDUP(E1083*Controls!$B$4,4)</f>
        <v/>
      </c>
      <c r="G1083" s="12">
        <f>F1083/E1083</f>
        <v/>
      </c>
      <c r="H1083" s="10">
        <f>(A1083-B1083-(D1083-1))/(A1083-(D1083-1))</f>
        <v/>
      </c>
      <c r="I1083" s="9">
        <f>A1083&amp;'x'&amp;B1083</f>
        <v/>
      </c>
      <c r="J1083" s="9">
        <f>IF(AND(G1083&gt;0.9,G1083&lt;1),"OK","CHECK")</f>
        <v/>
      </c>
    </row>
    <row r="1084">
      <c r="A1084" s="9" t="n">
        <v>36</v>
      </c>
      <c r="B1084" s="9" t="n">
        <v>33</v>
      </c>
      <c r="C1084" s="9" t="n">
        <v>3</v>
      </c>
      <c r="D1084" s="9" t="n">
        <v>1</v>
      </c>
      <c r="E1084" s="10">
        <f>COMBIN(A1084,D1084)/COMBIN(A1084-B1084,D1084)</f>
        <v/>
      </c>
      <c r="F1084" s="11">
        <f>ROUNDUP(E1084*Controls!$B$4,4)</f>
        <v/>
      </c>
      <c r="G1084" s="12">
        <f>F1084/E1084</f>
        <v/>
      </c>
      <c r="H1084" s="10">
        <f>(A1084-B1084-(D1084-1))/(A1084-(D1084-1))</f>
        <v/>
      </c>
      <c r="I1084" s="9">
        <f>A1084&amp;'x'&amp;B1084</f>
        <v/>
      </c>
      <c r="J1084" s="9">
        <f>IF(AND(G1084&gt;0.9,G1084&lt;1),"OK","CHECK")</f>
        <v/>
      </c>
    </row>
    <row r="1085">
      <c r="A1085" s="9" t="n">
        <v>36</v>
      </c>
      <c r="B1085" s="9" t="n">
        <v>33</v>
      </c>
      <c r="C1085" s="9" t="n">
        <v>3</v>
      </c>
      <c r="D1085" s="9" t="n">
        <v>2</v>
      </c>
      <c r="E1085" s="10">
        <f>COMBIN(A1085,D1085)/COMBIN(A1085-B1085,D1085)</f>
        <v/>
      </c>
      <c r="F1085" s="11">
        <f>ROUNDUP(E1085*Controls!$B$4,4)</f>
        <v/>
      </c>
      <c r="G1085" s="12">
        <f>F1085/E1085</f>
        <v/>
      </c>
      <c r="H1085" s="10">
        <f>(A1085-B1085-(D1085-1))/(A1085-(D1085-1))</f>
        <v/>
      </c>
      <c r="I1085" s="9">
        <f>A1085&amp;'x'&amp;B1085</f>
        <v/>
      </c>
      <c r="J1085" s="9">
        <f>IF(AND(G1085&gt;0.9,G1085&lt;1),"OK","CHECK")</f>
        <v/>
      </c>
    </row>
    <row r="1086">
      <c r="A1086" s="9" t="n">
        <v>36</v>
      </c>
      <c r="B1086" s="9" t="n">
        <v>33</v>
      </c>
      <c r="C1086" s="9" t="n">
        <v>3</v>
      </c>
      <c r="D1086" s="9" t="n">
        <v>3</v>
      </c>
      <c r="E1086" s="10">
        <f>COMBIN(A1086,D1086)/COMBIN(A1086-B1086,D1086)</f>
        <v/>
      </c>
      <c r="F1086" s="11">
        <f>ROUNDUP(E1086*Controls!$B$4,4)</f>
        <v/>
      </c>
      <c r="G1086" s="12">
        <f>F1086/E1086</f>
        <v/>
      </c>
      <c r="H1086" s="10">
        <f>(A1086-B1086-(D1086-1))/(A1086-(D1086-1))</f>
        <v/>
      </c>
      <c r="I1086" s="9">
        <f>A1086&amp;'x'&amp;B1086</f>
        <v/>
      </c>
      <c r="J1086" s="9">
        <f>IF(AND(G1086&gt;0.9,G1086&lt;1),"OK","CHECK")</f>
        <v/>
      </c>
    </row>
    <row r="1087">
      <c r="A1087" s="9" t="n">
        <v>36</v>
      </c>
      <c r="B1087" s="9" t="n">
        <v>34</v>
      </c>
      <c r="C1087" s="9" t="n">
        <v>2</v>
      </c>
      <c r="D1087" s="9" t="n">
        <v>1</v>
      </c>
      <c r="E1087" s="10">
        <f>COMBIN(A1087,D1087)/COMBIN(A1087-B1087,D1087)</f>
        <v/>
      </c>
      <c r="F1087" s="11">
        <f>ROUNDUP(E1087*Controls!$B$4,4)</f>
        <v/>
      </c>
      <c r="G1087" s="12">
        <f>F1087/E1087</f>
        <v/>
      </c>
      <c r="H1087" s="10">
        <f>(A1087-B1087-(D1087-1))/(A1087-(D1087-1))</f>
        <v/>
      </c>
      <c r="I1087" s="9">
        <f>A1087&amp;'x'&amp;B1087</f>
        <v/>
      </c>
      <c r="J1087" s="9">
        <f>IF(AND(G1087&gt;0.9,G1087&lt;1),"OK","CHECK")</f>
        <v/>
      </c>
    </row>
    <row r="1088">
      <c r="A1088" s="9" t="n">
        <v>36</v>
      </c>
      <c r="B1088" s="9" t="n">
        <v>34</v>
      </c>
      <c r="C1088" s="9" t="n">
        <v>2</v>
      </c>
      <c r="D1088" s="9" t="n">
        <v>2</v>
      </c>
      <c r="E1088" s="10">
        <f>COMBIN(A1088,D1088)/COMBIN(A1088-B1088,D1088)</f>
        <v/>
      </c>
      <c r="F1088" s="11">
        <f>ROUNDUP(E1088*Controls!$B$4,4)</f>
        <v/>
      </c>
      <c r="G1088" s="12">
        <f>F1088/E1088</f>
        <v/>
      </c>
      <c r="H1088" s="10">
        <f>(A1088-B1088-(D1088-1))/(A1088-(D1088-1))</f>
        <v/>
      </c>
      <c r="I1088" s="9">
        <f>A1088&amp;'x'&amp;B1088</f>
        <v/>
      </c>
      <c r="J1088" s="9">
        <f>IF(AND(G1088&gt;0.9,G1088&lt;1),"OK","CHECK")</f>
        <v/>
      </c>
    </row>
    <row r="1089">
      <c r="A1089" s="9" t="n">
        <v>36</v>
      </c>
      <c r="B1089" s="9" t="n">
        <v>35</v>
      </c>
      <c r="C1089" s="9" t="n">
        <v>1</v>
      </c>
      <c r="D1089" s="9" t="n">
        <v>1</v>
      </c>
      <c r="E1089" s="10">
        <f>COMBIN(A1089,D1089)/COMBIN(A1089-B1089,D1089)</f>
        <v/>
      </c>
      <c r="F1089" s="11">
        <f>ROUNDUP(E1089*Controls!$B$4,4)</f>
        <v/>
      </c>
      <c r="G1089" s="12">
        <f>F1089/E1089</f>
        <v/>
      </c>
      <c r="H1089" s="10">
        <f>(A1089-B1089-(D1089-1))/(A1089-(D1089-1))</f>
        <v/>
      </c>
      <c r="I1089" s="9">
        <f>A1089&amp;'x'&amp;B1089</f>
        <v/>
      </c>
      <c r="J1089" s="9">
        <f>IF(AND(G1089&gt;0.9,G1089&lt;1),"OK","CHECK")</f>
        <v/>
      </c>
    </row>
    <row r="1090">
      <c r="A1090" s="9" t="n">
        <v>49</v>
      </c>
      <c r="B1090" s="9" t="n">
        <v>1</v>
      </c>
      <c r="C1090" s="9" t="n">
        <v>48</v>
      </c>
      <c r="D1090" s="9" t="n">
        <v>1</v>
      </c>
      <c r="E1090" s="10">
        <f>COMBIN(A1090,D1090)/COMBIN(A1090-B1090,D1090)</f>
        <v/>
      </c>
      <c r="F1090" s="11">
        <f>ROUNDUP(E1090*Controls!$B$4,4)</f>
        <v/>
      </c>
      <c r="G1090" s="12">
        <f>F1090/E1090</f>
        <v/>
      </c>
      <c r="H1090" s="10">
        <f>(A1090-B1090-(D1090-1))/(A1090-(D1090-1))</f>
        <v/>
      </c>
      <c r="I1090" s="9">
        <f>A1090&amp;'x'&amp;B1090</f>
        <v/>
      </c>
      <c r="J1090" s="9">
        <f>IF(AND(G1090&gt;0.9,G1090&lt;1),"OK","CHECK")</f>
        <v/>
      </c>
    </row>
    <row r="1091">
      <c r="A1091" s="9" t="n">
        <v>49</v>
      </c>
      <c r="B1091" s="9" t="n">
        <v>1</v>
      </c>
      <c r="C1091" s="9" t="n">
        <v>48</v>
      </c>
      <c r="D1091" s="9" t="n">
        <v>2</v>
      </c>
      <c r="E1091" s="10">
        <f>COMBIN(A1091,D1091)/COMBIN(A1091-B1091,D1091)</f>
        <v/>
      </c>
      <c r="F1091" s="11">
        <f>ROUNDUP(E1091*Controls!$B$4,4)</f>
        <v/>
      </c>
      <c r="G1091" s="12">
        <f>F1091/E1091</f>
        <v/>
      </c>
      <c r="H1091" s="10">
        <f>(A1091-B1091-(D1091-1))/(A1091-(D1091-1))</f>
        <v/>
      </c>
      <c r="I1091" s="9">
        <f>A1091&amp;'x'&amp;B1091</f>
        <v/>
      </c>
      <c r="J1091" s="9">
        <f>IF(AND(G1091&gt;0.9,G1091&lt;1),"OK","CHECK")</f>
        <v/>
      </c>
    </row>
    <row r="1092">
      <c r="A1092" s="9" t="n">
        <v>49</v>
      </c>
      <c r="B1092" s="9" t="n">
        <v>1</v>
      </c>
      <c r="C1092" s="9" t="n">
        <v>48</v>
      </c>
      <c r="D1092" s="9" t="n">
        <v>3</v>
      </c>
      <c r="E1092" s="10">
        <f>COMBIN(A1092,D1092)/COMBIN(A1092-B1092,D1092)</f>
        <v/>
      </c>
      <c r="F1092" s="11">
        <f>ROUNDUP(E1092*Controls!$B$4,4)</f>
        <v/>
      </c>
      <c r="G1092" s="12">
        <f>F1092/E1092</f>
        <v/>
      </c>
      <c r="H1092" s="10">
        <f>(A1092-B1092-(D1092-1))/(A1092-(D1092-1))</f>
        <v/>
      </c>
      <c r="I1092" s="9">
        <f>A1092&amp;'x'&amp;B1092</f>
        <v/>
      </c>
      <c r="J1092" s="9">
        <f>IF(AND(G1092&gt;0.9,G1092&lt;1),"OK","CHECK")</f>
        <v/>
      </c>
    </row>
    <row r="1093">
      <c r="A1093" s="9" t="n">
        <v>49</v>
      </c>
      <c r="B1093" s="9" t="n">
        <v>1</v>
      </c>
      <c r="C1093" s="9" t="n">
        <v>48</v>
      </c>
      <c r="D1093" s="9" t="n">
        <v>4</v>
      </c>
      <c r="E1093" s="10">
        <f>COMBIN(A1093,D1093)/COMBIN(A1093-B1093,D1093)</f>
        <v/>
      </c>
      <c r="F1093" s="11">
        <f>ROUNDUP(E1093*Controls!$B$4,4)</f>
        <v/>
      </c>
      <c r="G1093" s="12">
        <f>F1093/E1093</f>
        <v/>
      </c>
      <c r="H1093" s="10">
        <f>(A1093-B1093-(D1093-1))/(A1093-(D1093-1))</f>
        <v/>
      </c>
      <c r="I1093" s="9">
        <f>A1093&amp;'x'&amp;B1093</f>
        <v/>
      </c>
      <c r="J1093" s="9">
        <f>IF(AND(G1093&gt;0.9,G1093&lt;1),"OK","CHECK")</f>
        <v/>
      </c>
    </row>
    <row r="1094">
      <c r="A1094" s="9" t="n">
        <v>49</v>
      </c>
      <c r="B1094" s="9" t="n">
        <v>1</v>
      </c>
      <c r="C1094" s="9" t="n">
        <v>48</v>
      </c>
      <c r="D1094" s="9" t="n">
        <v>5</v>
      </c>
      <c r="E1094" s="10">
        <f>COMBIN(A1094,D1094)/COMBIN(A1094-B1094,D1094)</f>
        <v/>
      </c>
      <c r="F1094" s="11">
        <f>ROUNDUP(E1094*Controls!$B$4,4)</f>
        <v/>
      </c>
      <c r="G1094" s="12">
        <f>F1094/E1094</f>
        <v/>
      </c>
      <c r="H1094" s="10">
        <f>(A1094-B1094-(D1094-1))/(A1094-(D1094-1))</f>
        <v/>
      </c>
      <c r="I1094" s="9">
        <f>A1094&amp;'x'&amp;B1094</f>
        <v/>
      </c>
      <c r="J1094" s="9">
        <f>IF(AND(G1094&gt;0.9,G1094&lt;1),"OK","CHECK")</f>
        <v/>
      </c>
    </row>
    <row r="1095">
      <c r="A1095" s="9" t="n">
        <v>49</v>
      </c>
      <c r="B1095" s="9" t="n">
        <v>1</v>
      </c>
      <c r="C1095" s="9" t="n">
        <v>48</v>
      </c>
      <c r="D1095" s="9" t="n">
        <v>6</v>
      </c>
      <c r="E1095" s="10">
        <f>COMBIN(A1095,D1095)/COMBIN(A1095-B1095,D1095)</f>
        <v/>
      </c>
      <c r="F1095" s="11">
        <f>ROUNDUP(E1095*Controls!$B$4,4)</f>
        <v/>
      </c>
      <c r="G1095" s="12">
        <f>F1095/E1095</f>
        <v/>
      </c>
      <c r="H1095" s="10">
        <f>(A1095-B1095-(D1095-1))/(A1095-(D1095-1))</f>
        <v/>
      </c>
      <c r="I1095" s="9">
        <f>A1095&amp;'x'&amp;B1095</f>
        <v/>
      </c>
      <c r="J1095" s="9">
        <f>IF(AND(G1095&gt;0.9,G1095&lt;1),"OK","CHECK")</f>
        <v/>
      </c>
    </row>
    <row r="1096">
      <c r="A1096" s="9" t="n">
        <v>49</v>
      </c>
      <c r="B1096" s="9" t="n">
        <v>1</v>
      </c>
      <c r="C1096" s="9" t="n">
        <v>48</v>
      </c>
      <c r="D1096" s="9" t="n">
        <v>7</v>
      </c>
      <c r="E1096" s="10">
        <f>COMBIN(A1096,D1096)/COMBIN(A1096-B1096,D1096)</f>
        <v/>
      </c>
      <c r="F1096" s="11">
        <f>ROUNDUP(E1096*Controls!$B$4,4)</f>
        <v/>
      </c>
      <c r="G1096" s="12">
        <f>F1096/E1096</f>
        <v/>
      </c>
      <c r="H1096" s="10">
        <f>(A1096-B1096-(D1096-1))/(A1096-(D1096-1))</f>
        <v/>
      </c>
      <c r="I1096" s="9">
        <f>A1096&amp;'x'&amp;B1096</f>
        <v/>
      </c>
      <c r="J1096" s="9">
        <f>IF(AND(G1096&gt;0.9,G1096&lt;1),"OK","CHECK")</f>
        <v/>
      </c>
    </row>
    <row r="1097">
      <c r="A1097" s="9" t="n">
        <v>49</v>
      </c>
      <c r="B1097" s="9" t="n">
        <v>1</v>
      </c>
      <c r="C1097" s="9" t="n">
        <v>48</v>
      </c>
      <c r="D1097" s="9" t="n">
        <v>8</v>
      </c>
      <c r="E1097" s="10">
        <f>COMBIN(A1097,D1097)/COMBIN(A1097-B1097,D1097)</f>
        <v/>
      </c>
      <c r="F1097" s="11">
        <f>ROUNDUP(E1097*Controls!$B$4,4)</f>
        <v/>
      </c>
      <c r="G1097" s="12">
        <f>F1097/E1097</f>
        <v/>
      </c>
      <c r="H1097" s="10">
        <f>(A1097-B1097-(D1097-1))/(A1097-(D1097-1))</f>
        <v/>
      </c>
      <c r="I1097" s="9">
        <f>A1097&amp;'x'&amp;B1097</f>
        <v/>
      </c>
      <c r="J1097" s="9">
        <f>IF(AND(G1097&gt;0.9,G1097&lt;1),"OK","CHECK")</f>
        <v/>
      </c>
    </row>
    <row r="1098">
      <c r="A1098" s="9" t="n">
        <v>49</v>
      </c>
      <c r="B1098" s="9" t="n">
        <v>1</v>
      </c>
      <c r="C1098" s="9" t="n">
        <v>48</v>
      </c>
      <c r="D1098" s="9" t="n">
        <v>9</v>
      </c>
      <c r="E1098" s="10">
        <f>COMBIN(A1098,D1098)/COMBIN(A1098-B1098,D1098)</f>
        <v/>
      </c>
      <c r="F1098" s="11">
        <f>ROUNDUP(E1098*Controls!$B$4,4)</f>
        <v/>
      </c>
      <c r="G1098" s="12">
        <f>F1098/E1098</f>
        <v/>
      </c>
      <c r="H1098" s="10">
        <f>(A1098-B1098-(D1098-1))/(A1098-(D1098-1))</f>
        <v/>
      </c>
      <c r="I1098" s="9">
        <f>A1098&amp;'x'&amp;B1098</f>
        <v/>
      </c>
      <c r="J1098" s="9">
        <f>IF(AND(G1098&gt;0.9,G1098&lt;1),"OK","CHECK")</f>
        <v/>
      </c>
    </row>
    <row r="1099">
      <c r="A1099" s="9" t="n">
        <v>49</v>
      </c>
      <c r="B1099" s="9" t="n">
        <v>1</v>
      </c>
      <c r="C1099" s="9" t="n">
        <v>48</v>
      </c>
      <c r="D1099" s="9" t="n">
        <v>10</v>
      </c>
      <c r="E1099" s="10">
        <f>COMBIN(A1099,D1099)/COMBIN(A1099-B1099,D1099)</f>
        <v/>
      </c>
      <c r="F1099" s="11">
        <f>ROUNDUP(E1099*Controls!$B$4,4)</f>
        <v/>
      </c>
      <c r="G1099" s="12">
        <f>F1099/E1099</f>
        <v/>
      </c>
      <c r="H1099" s="10">
        <f>(A1099-B1099-(D1099-1))/(A1099-(D1099-1))</f>
        <v/>
      </c>
      <c r="I1099" s="9">
        <f>A1099&amp;'x'&amp;B1099</f>
        <v/>
      </c>
      <c r="J1099" s="9">
        <f>IF(AND(G1099&gt;0.9,G1099&lt;1),"OK","CHECK")</f>
        <v/>
      </c>
    </row>
    <row r="1100">
      <c r="A1100" s="9" t="n">
        <v>49</v>
      </c>
      <c r="B1100" s="9" t="n">
        <v>1</v>
      </c>
      <c r="C1100" s="9" t="n">
        <v>48</v>
      </c>
      <c r="D1100" s="9" t="n">
        <v>11</v>
      </c>
      <c r="E1100" s="10">
        <f>COMBIN(A1100,D1100)/COMBIN(A1100-B1100,D1100)</f>
        <v/>
      </c>
      <c r="F1100" s="11">
        <f>ROUNDUP(E1100*Controls!$B$4,4)</f>
        <v/>
      </c>
      <c r="G1100" s="12">
        <f>F1100/E1100</f>
        <v/>
      </c>
      <c r="H1100" s="10">
        <f>(A1100-B1100-(D1100-1))/(A1100-(D1100-1))</f>
        <v/>
      </c>
      <c r="I1100" s="9">
        <f>A1100&amp;'x'&amp;B1100</f>
        <v/>
      </c>
      <c r="J1100" s="9">
        <f>IF(AND(G1100&gt;0.9,G1100&lt;1),"OK","CHECK")</f>
        <v/>
      </c>
    </row>
    <row r="1101">
      <c r="A1101" s="9" t="n">
        <v>49</v>
      </c>
      <c r="B1101" s="9" t="n">
        <v>1</v>
      </c>
      <c r="C1101" s="9" t="n">
        <v>48</v>
      </c>
      <c r="D1101" s="9" t="n">
        <v>12</v>
      </c>
      <c r="E1101" s="10">
        <f>COMBIN(A1101,D1101)/COMBIN(A1101-B1101,D1101)</f>
        <v/>
      </c>
      <c r="F1101" s="11">
        <f>ROUNDUP(E1101*Controls!$B$4,4)</f>
        <v/>
      </c>
      <c r="G1101" s="12">
        <f>F1101/E1101</f>
        <v/>
      </c>
      <c r="H1101" s="10">
        <f>(A1101-B1101-(D1101-1))/(A1101-(D1101-1))</f>
        <v/>
      </c>
      <c r="I1101" s="9">
        <f>A1101&amp;'x'&amp;B1101</f>
        <v/>
      </c>
      <c r="J1101" s="9">
        <f>IF(AND(G1101&gt;0.9,G1101&lt;1),"OK","CHECK")</f>
        <v/>
      </c>
    </row>
    <row r="1102">
      <c r="A1102" s="9" t="n">
        <v>49</v>
      </c>
      <c r="B1102" s="9" t="n">
        <v>1</v>
      </c>
      <c r="C1102" s="9" t="n">
        <v>48</v>
      </c>
      <c r="D1102" s="9" t="n">
        <v>13</v>
      </c>
      <c r="E1102" s="10">
        <f>COMBIN(A1102,D1102)/COMBIN(A1102-B1102,D1102)</f>
        <v/>
      </c>
      <c r="F1102" s="11">
        <f>ROUNDUP(E1102*Controls!$B$4,4)</f>
        <v/>
      </c>
      <c r="G1102" s="12">
        <f>F1102/E1102</f>
        <v/>
      </c>
      <c r="H1102" s="10">
        <f>(A1102-B1102-(D1102-1))/(A1102-(D1102-1))</f>
        <v/>
      </c>
      <c r="I1102" s="9">
        <f>A1102&amp;'x'&amp;B1102</f>
        <v/>
      </c>
      <c r="J1102" s="9">
        <f>IF(AND(G1102&gt;0.9,G1102&lt;1),"OK","CHECK")</f>
        <v/>
      </c>
    </row>
    <row r="1103">
      <c r="A1103" s="9" t="n">
        <v>49</v>
      </c>
      <c r="B1103" s="9" t="n">
        <v>1</v>
      </c>
      <c r="C1103" s="9" t="n">
        <v>48</v>
      </c>
      <c r="D1103" s="9" t="n">
        <v>14</v>
      </c>
      <c r="E1103" s="10">
        <f>COMBIN(A1103,D1103)/COMBIN(A1103-B1103,D1103)</f>
        <v/>
      </c>
      <c r="F1103" s="11">
        <f>ROUNDUP(E1103*Controls!$B$4,4)</f>
        <v/>
      </c>
      <c r="G1103" s="12">
        <f>F1103/E1103</f>
        <v/>
      </c>
      <c r="H1103" s="10">
        <f>(A1103-B1103-(D1103-1))/(A1103-(D1103-1))</f>
        <v/>
      </c>
      <c r="I1103" s="9">
        <f>A1103&amp;'x'&amp;B1103</f>
        <v/>
      </c>
      <c r="J1103" s="9">
        <f>IF(AND(G1103&gt;0.9,G1103&lt;1),"OK","CHECK")</f>
        <v/>
      </c>
    </row>
    <row r="1104">
      <c r="A1104" s="9" t="n">
        <v>49</v>
      </c>
      <c r="B1104" s="9" t="n">
        <v>1</v>
      </c>
      <c r="C1104" s="9" t="n">
        <v>48</v>
      </c>
      <c r="D1104" s="9" t="n">
        <v>15</v>
      </c>
      <c r="E1104" s="10">
        <f>COMBIN(A1104,D1104)/COMBIN(A1104-B1104,D1104)</f>
        <v/>
      </c>
      <c r="F1104" s="11">
        <f>ROUNDUP(E1104*Controls!$B$4,4)</f>
        <v/>
      </c>
      <c r="G1104" s="12">
        <f>F1104/E1104</f>
        <v/>
      </c>
      <c r="H1104" s="10">
        <f>(A1104-B1104-(D1104-1))/(A1104-(D1104-1))</f>
        <v/>
      </c>
      <c r="I1104" s="9">
        <f>A1104&amp;'x'&amp;B1104</f>
        <v/>
      </c>
      <c r="J1104" s="9">
        <f>IF(AND(G1104&gt;0.9,G1104&lt;1),"OK","CHECK")</f>
        <v/>
      </c>
    </row>
    <row r="1105">
      <c r="A1105" s="9" t="n">
        <v>49</v>
      </c>
      <c r="B1105" s="9" t="n">
        <v>1</v>
      </c>
      <c r="C1105" s="9" t="n">
        <v>48</v>
      </c>
      <c r="D1105" s="9" t="n">
        <v>16</v>
      </c>
      <c r="E1105" s="10">
        <f>COMBIN(A1105,D1105)/COMBIN(A1105-B1105,D1105)</f>
        <v/>
      </c>
      <c r="F1105" s="11">
        <f>ROUNDUP(E1105*Controls!$B$4,4)</f>
        <v/>
      </c>
      <c r="G1105" s="12">
        <f>F1105/E1105</f>
        <v/>
      </c>
      <c r="H1105" s="10">
        <f>(A1105-B1105-(D1105-1))/(A1105-(D1105-1))</f>
        <v/>
      </c>
      <c r="I1105" s="9">
        <f>A1105&amp;'x'&amp;B1105</f>
        <v/>
      </c>
      <c r="J1105" s="9">
        <f>IF(AND(G1105&gt;0.9,G1105&lt;1),"OK","CHECK")</f>
        <v/>
      </c>
    </row>
    <row r="1106">
      <c r="A1106" s="9" t="n">
        <v>49</v>
      </c>
      <c r="B1106" s="9" t="n">
        <v>1</v>
      </c>
      <c r="C1106" s="9" t="n">
        <v>48</v>
      </c>
      <c r="D1106" s="9" t="n">
        <v>17</v>
      </c>
      <c r="E1106" s="10">
        <f>COMBIN(A1106,D1106)/COMBIN(A1106-B1106,D1106)</f>
        <v/>
      </c>
      <c r="F1106" s="11">
        <f>ROUNDUP(E1106*Controls!$B$4,4)</f>
        <v/>
      </c>
      <c r="G1106" s="12">
        <f>F1106/E1106</f>
        <v/>
      </c>
      <c r="H1106" s="10">
        <f>(A1106-B1106-(D1106-1))/(A1106-(D1106-1))</f>
        <v/>
      </c>
      <c r="I1106" s="9">
        <f>A1106&amp;'x'&amp;B1106</f>
        <v/>
      </c>
      <c r="J1106" s="9">
        <f>IF(AND(G1106&gt;0.9,G1106&lt;1),"OK","CHECK")</f>
        <v/>
      </c>
    </row>
    <row r="1107">
      <c r="A1107" s="9" t="n">
        <v>49</v>
      </c>
      <c r="B1107" s="9" t="n">
        <v>1</v>
      </c>
      <c r="C1107" s="9" t="n">
        <v>48</v>
      </c>
      <c r="D1107" s="9" t="n">
        <v>18</v>
      </c>
      <c r="E1107" s="10">
        <f>COMBIN(A1107,D1107)/COMBIN(A1107-B1107,D1107)</f>
        <v/>
      </c>
      <c r="F1107" s="11">
        <f>ROUNDUP(E1107*Controls!$B$4,4)</f>
        <v/>
      </c>
      <c r="G1107" s="12">
        <f>F1107/E1107</f>
        <v/>
      </c>
      <c r="H1107" s="10">
        <f>(A1107-B1107-(D1107-1))/(A1107-(D1107-1))</f>
        <v/>
      </c>
      <c r="I1107" s="9">
        <f>A1107&amp;'x'&amp;B1107</f>
        <v/>
      </c>
      <c r="J1107" s="9">
        <f>IF(AND(G1107&gt;0.9,G1107&lt;1),"OK","CHECK")</f>
        <v/>
      </c>
    </row>
    <row r="1108">
      <c r="A1108" s="9" t="n">
        <v>49</v>
      </c>
      <c r="B1108" s="9" t="n">
        <v>1</v>
      </c>
      <c r="C1108" s="9" t="n">
        <v>48</v>
      </c>
      <c r="D1108" s="9" t="n">
        <v>19</v>
      </c>
      <c r="E1108" s="10">
        <f>COMBIN(A1108,D1108)/COMBIN(A1108-B1108,D1108)</f>
        <v/>
      </c>
      <c r="F1108" s="11">
        <f>ROUNDUP(E1108*Controls!$B$4,4)</f>
        <v/>
      </c>
      <c r="G1108" s="12">
        <f>F1108/E1108</f>
        <v/>
      </c>
      <c r="H1108" s="10">
        <f>(A1108-B1108-(D1108-1))/(A1108-(D1108-1))</f>
        <v/>
      </c>
      <c r="I1108" s="9">
        <f>A1108&amp;'x'&amp;B1108</f>
        <v/>
      </c>
      <c r="J1108" s="9">
        <f>IF(AND(G1108&gt;0.9,G1108&lt;1),"OK","CHECK")</f>
        <v/>
      </c>
    </row>
    <row r="1109">
      <c r="A1109" s="9" t="n">
        <v>49</v>
      </c>
      <c r="B1109" s="9" t="n">
        <v>1</v>
      </c>
      <c r="C1109" s="9" t="n">
        <v>48</v>
      </c>
      <c r="D1109" s="9" t="n">
        <v>20</v>
      </c>
      <c r="E1109" s="10">
        <f>COMBIN(A1109,D1109)/COMBIN(A1109-B1109,D1109)</f>
        <v/>
      </c>
      <c r="F1109" s="11">
        <f>ROUNDUP(E1109*Controls!$B$4,4)</f>
        <v/>
      </c>
      <c r="G1109" s="12">
        <f>F1109/E1109</f>
        <v/>
      </c>
      <c r="H1109" s="10">
        <f>(A1109-B1109-(D1109-1))/(A1109-(D1109-1))</f>
        <v/>
      </c>
      <c r="I1109" s="9">
        <f>A1109&amp;'x'&amp;B1109</f>
        <v/>
      </c>
      <c r="J1109" s="9">
        <f>IF(AND(G1109&gt;0.9,G1109&lt;1),"OK","CHECK")</f>
        <v/>
      </c>
    </row>
    <row r="1110">
      <c r="A1110" s="9" t="n">
        <v>49</v>
      </c>
      <c r="B1110" s="9" t="n">
        <v>1</v>
      </c>
      <c r="C1110" s="9" t="n">
        <v>48</v>
      </c>
      <c r="D1110" s="9" t="n">
        <v>21</v>
      </c>
      <c r="E1110" s="10">
        <f>COMBIN(A1110,D1110)/COMBIN(A1110-B1110,D1110)</f>
        <v/>
      </c>
      <c r="F1110" s="11">
        <f>ROUNDUP(E1110*Controls!$B$4,4)</f>
        <v/>
      </c>
      <c r="G1110" s="12">
        <f>F1110/E1110</f>
        <v/>
      </c>
      <c r="H1110" s="10">
        <f>(A1110-B1110-(D1110-1))/(A1110-(D1110-1))</f>
        <v/>
      </c>
      <c r="I1110" s="9">
        <f>A1110&amp;'x'&amp;B1110</f>
        <v/>
      </c>
      <c r="J1110" s="9">
        <f>IF(AND(G1110&gt;0.9,G1110&lt;1),"OK","CHECK")</f>
        <v/>
      </c>
    </row>
    <row r="1111">
      <c r="A1111" s="9" t="n">
        <v>49</v>
      </c>
      <c r="B1111" s="9" t="n">
        <v>1</v>
      </c>
      <c r="C1111" s="9" t="n">
        <v>48</v>
      </c>
      <c r="D1111" s="9" t="n">
        <v>22</v>
      </c>
      <c r="E1111" s="10">
        <f>COMBIN(A1111,D1111)/COMBIN(A1111-B1111,D1111)</f>
        <v/>
      </c>
      <c r="F1111" s="11">
        <f>ROUNDUP(E1111*Controls!$B$4,4)</f>
        <v/>
      </c>
      <c r="G1111" s="12">
        <f>F1111/E1111</f>
        <v/>
      </c>
      <c r="H1111" s="10">
        <f>(A1111-B1111-(D1111-1))/(A1111-(D1111-1))</f>
        <v/>
      </c>
      <c r="I1111" s="9">
        <f>A1111&amp;'x'&amp;B1111</f>
        <v/>
      </c>
      <c r="J1111" s="9">
        <f>IF(AND(G1111&gt;0.9,G1111&lt;1),"OK","CHECK")</f>
        <v/>
      </c>
    </row>
    <row r="1112">
      <c r="A1112" s="9" t="n">
        <v>49</v>
      </c>
      <c r="B1112" s="9" t="n">
        <v>1</v>
      </c>
      <c r="C1112" s="9" t="n">
        <v>48</v>
      </c>
      <c r="D1112" s="9" t="n">
        <v>23</v>
      </c>
      <c r="E1112" s="10">
        <f>COMBIN(A1112,D1112)/COMBIN(A1112-B1112,D1112)</f>
        <v/>
      </c>
      <c r="F1112" s="11">
        <f>ROUNDUP(E1112*Controls!$B$4,4)</f>
        <v/>
      </c>
      <c r="G1112" s="12">
        <f>F1112/E1112</f>
        <v/>
      </c>
      <c r="H1112" s="10">
        <f>(A1112-B1112-(D1112-1))/(A1112-(D1112-1))</f>
        <v/>
      </c>
      <c r="I1112" s="9">
        <f>A1112&amp;'x'&amp;B1112</f>
        <v/>
      </c>
      <c r="J1112" s="9">
        <f>IF(AND(G1112&gt;0.9,G1112&lt;1),"OK","CHECK")</f>
        <v/>
      </c>
    </row>
    <row r="1113">
      <c r="A1113" s="9" t="n">
        <v>49</v>
      </c>
      <c r="B1113" s="9" t="n">
        <v>1</v>
      </c>
      <c r="C1113" s="9" t="n">
        <v>48</v>
      </c>
      <c r="D1113" s="9" t="n">
        <v>24</v>
      </c>
      <c r="E1113" s="10">
        <f>COMBIN(A1113,D1113)/COMBIN(A1113-B1113,D1113)</f>
        <v/>
      </c>
      <c r="F1113" s="11">
        <f>ROUNDUP(E1113*Controls!$B$4,4)</f>
        <v/>
      </c>
      <c r="G1113" s="12">
        <f>F1113/E1113</f>
        <v/>
      </c>
      <c r="H1113" s="10">
        <f>(A1113-B1113-(D1113-1))/(A1113-(D1113-1))</f>
        <v/>
      </c>
      <c r="I1113" s="9">
        <f>A1113&amp;'x'&amp;B1113</f>
        <v/>
      </c>
      <c r="J1113" s="9">
        <f>IF(AND(G1113&gt;0.9,G1113&lt;1),"OK","CHECK")</f>
        <v/>
      </c>
    </row>
    <row r="1114">
      <c r="A1114" s="9" t="n">
        <v>49</v>
      </c>
      <c r="B1114" s="9" t="n">
        <v>1</v>
      </c>
      <c r="C1114" s="9" t="n">
        <v>48</v>
      </c>
      <c r="D1114" s="9" t="n">
        <v>25</v>
      </c>
      <c r="E1114" s="10">
        <f>COMBIN(A1114,D1114)/COMBIN(A1114-B1114,D1114)</f>
        <v/>
      </c>
      <c r="F1114" s="11">
        <f>ROUNDUP(E1114*Controls!$B$4,4)</f>
        <v/>
      </c>
      <c r="G1114" s="12">
        <f>F1114/E1114</f>
        <v/>
      </c>
      <c r="H1114" s="10">
        <f>(A1114-B1114-(D1114-1))/(A1114-(D1114-1))</f>
        <v/>
      </c>
      <c r="I1114" s="9">
        <f>A1114&amp;'x'&amp;B1114</f>
        <v/>
      </c>
      <c r="J1114" s="9">
        <f>IF(AND(G1114&gt;0.9,G1114&lt;1),"OK","CHECK")</f>
        <v/>
      </c>
    </row>
    <row r="1115">
      <c r="A1115" s="9" t="n">
        <v>49</v>
      </c>
      <c r="B1115" s="9" t="n">
        <v>1</v>
      </c>
      <c r="C1115" s="9" t="n">
        <v>48</v>
      </c>
      <c r="D1115" s="9" t="n">
        <v>26</v>
      </c>
      <c r="E1115" s="10">
        <f>COMBIN(A1115,D1115)/COMBIN(A1115-B1115,D1115)</f>
        <v/>
      </c>
      <c r="F1115" s="11">
        <f>ROUNDUP(E1115*Controls!$B$4,4)</f>
        <v/>
      </c>
      <c r="G1115" s="12">
        <f>F1115/E1115</f>
        <v/>
      </c>
      <c r="H1115" s="10">
        <f>(A1115-B1115-(D1115-1))/(A1115-(D1115-1))</f>
        <v/>
      </c>
      <c r="I1115" s="9">
        <f>A1115&amp;'x'&amp;B1115</f>
        <v/>
      </c>
      <c r="J1115" s="9">
        <f>IF(AND(G1115&gt;0.9,G1115&lt;1),"OK","CHECK")</f>
        <v/>
      </c>
    </row>
    <row r="1116">
      <c r="A1116" s="9" t="n">
        <v>49</v>
      </c>
      <c r="B1116" s="9" t="n">
        <v>1</v>
      </c>
      <c r="C1116" s="9" t="n">
        <v>48</v>
      </c>
      <c r="D1116" s="9" t="n">
        <v>27</v>
      </c>
      <c r="E1116" s="10">
        <f>COMBIN(A1116,D1116)/COMBIN(A1116-B1116,D1116)</f>
        <v/>
      </c>
      <c r="F1116" s="11">
        <f>ROUNDUP(E1116*Controls!$B$4,4)</f>
        <v/>
      </c>
      <c r="G1116" s="12">
        <f>F1116/E1116</f>
        <v/>
      </c>
      <c r="H1116" s="10">
        <f>(A1116-B1116-(D1116-1))/(A1116-(D1116-1))</f>
        <v/>
      </c>
      <c r="I1116" s="9">
        <f>A1116&amp;'x'&amp;B1116</f>
        <v/>
      </c>
      <c r="J1116" s="9">
        <f>IF(AND(G1116&gt;0.9,G1116&lt;1),"OK","CHECK")</f>
        <v/>
      </c>
    </row>
    <row r="1117">
      <c r="A1117" s="9" t="n">
        <v>49</v>
      </c>
      <c r="B1117" s="9" t="n">
        <v>1</v>
      </c>
      <c r="C1117" s="9" t="n">
        <v>48</v>
      </c>
      <c r="D1117" s="9" t="n">
        <v>28</v>
      </c>
      <c r="E1117" s="10">
        <f>COMBIN(A1117,D1117)/COMBIN(A1117-B1117,D1117)</f>
        <v/>
      </c>
      <c r="F1117" s="11">
        <f>ROUNDUP(E1117*Controls!$B$4,4)</f>
        <v/>
      </c>
      <c r="G1117" s="12">
        <f>F1117/E1117</f>
        <v/>
      </c>
      <c r="H1117" s="10">
        <f>(A1117-B1117-(D1117-1))/(A1117-(D1117-1))</f>
        <v/>
      </c>
      <c r="I1117" s="9">
        <f>A1117&amp;'x'&amp;B1117</f>
        <v/>
      </c>
      <c r="J1117" s="9">
        <f>IF(AND(G1117&gt;0.9,G1117&lt;1),"OK","CHECK")</f>
        <v/>
      </c>
    </row>
    <row r="1118">
      <c r="A1118" s="9" t="n">
        <v>49</v>
      </c>
      <c r="B1118" s="9" t="n">
        <v>1</v>
      </c>
      <c r="C1118" s="9" t="n">
        <v>48</v>
      </c>
      <c r="D1118" s="9" t="n">
        <v>29</v>
      </c>
      <c r="E1118" s="10">
        <f>COMBIN(A1118,D1118)/COMBIN(A1118-B1118,D1118)</f>
        <v/>
      </c>
      <c r="F1118" s="11">
        <f>ROUNDUP(E1118*Controls!$B$4,4)</f>
        <v/>
      </c>
      <c r="G1118" s="12">
        <f>F1118/E1118</f>
        <v/>
      </c>
      <c r="H1118" s="10">
        <f>(A1118-B1118-(D1118-1))/(A1118-(D1118-1))</f>
        <v/>
      </c>
      <c r="I1118" s="9">
        <f>A1118&amp;'x'&amp;B1118</f>
        <v/>
      </c>
      <c r="J1118" s="9">
        <f>IF(AND(G1118&gt;0.9,G1118&lt;1),"OK","CHECK")</f>
        <v/>
      </c>
    </row>
    <row r="1119">
      <c r="A1119" s="9" t="n">
        <v>49</v>
      </c>
      <c r="B1119" s="9" t="n">
        <v>1</v>
      </c>
      <c r="C1119" s="9" t="n">
        <v>48</v>
      </c>
      <c r="D1119" s="9" t="n">
        <v>30</v>
      </c>
      <c r="E1119" s="10">
        <f>COMBIN(A1119,D1119)/COMBIN(A1119-B1119,D1119)</f>
        <v/>
      </c>
      <c r="F1119" s="11">
        <f>ROUNDUP(E1119*Controls!$B$4,4)</f>
        <v/>
      </c>
      <c r="G1119" s="12">
        <f>F1119/E1119</f>
        <v/>
      </c>
      <c r="H1119" s="10">
        <f>(A1119-B1119-(D1119-1))/(A1119-(D1119-1))</f>
        <v/>
      </c>
      <c r="I1119" s="9">
        <f>A1119&amp;'x'&amp;B1119</f>
        <v/>
      </c>
      <c r="J1119" s="9">
        <f>IF(AND(G1119&gt;0.9,G1119&lt;1),"OK","CHECK")</f>
        <v/>
      </c>
    </row>
    <row r="1120">
      <c r="A1120" s="9" t="n">
        <v>49</v>
      </c>
      <c r="B1120" s="9" t="n">
        <v>1</v>
      </c>
      <c r="C1120" s="9" t="n">
        <v>48</v>
      </c>
      <c r="D1120" s="9" t="n">
        <v>31</v>
      </c>
      <c r="E1120" s="10">
        <f>COMBIN(A1120,D1120)/COMBIN(A1120-B1120,D1120)</f>
        <v/>
      </c>
      <c r="F1120" s="11">
        <f>ROUNDUP(E1120*Controls!$B$4,4)</f>
        <v/>
      </c>
      <c r="G1120" s="12">
        <f>F1120/E1120</f>
        <v/>
      </c>
      <c r="H1120" s="10">
        <f>(A1120-B1120-(D1120-1))/(A1120-(D1120-1))</f>
        <v/>
      </c>
      <c r="I1120" s="9">
        <f>A1120&amp;'x'&amp;B1120</f>
        <v/>
      </c>
      <c r="J1120" s="9">
        <f>IF(AND(G1120&gt;0.9,G1120&lt;1),"OK","CHECK")</f>
        <v/>
      </c>
    </row>
    <row r="1121">
      <c r="A1121" s="9" t="n">
        <v>49</v>
      </c>
      <c r="B1121" s="9" t="n">
        <v>1</v>
      </c>
      <c r="C1121" s="9" t="n">
        <v>48</v>
      </c>
      <c r="D1121" s="9" t="n">
        <v>32</v>
      </c>
      <c r="E1121" s="10">
        <f>COMBIN(A1121,D1121)/COMBIN(A1121-B1121,D1121)</f>
        <v/>
      </c>
      <c r="F1121" s="11">
        <f>ROUNDUP(E1121*Controls!$B$4,4)</f>
        <v/>
      </c>
      <c r="G1121" s="12">
        <f>F1121/E1121</f>
        <v/>
      </c>
      <c r="H1121" s="10">
        <f>(A1121-B1121-(D1121-1))/(A1121-(D1121-1))</f>
        <v/>
      </c>
      <c r="I1121" s="9">
        <f>A1121&amp;'x'&amp;B1121</f>
        <v/>
      </c>
      <c r="J1121" s="9">
        <f>IF(AND(G1121&gt;0.9,G1121&lt;1),"OK","CHECK")</f>
        <v/>
      </c>
    </row>
    <row r="1122">
      <c r="A1122" s="9" t="n">
        <v>49</v>
      </c>
      <c r="B1122" s="9" t="n">
        <v>1</v>
      </c>
      <c r="C1122" s="9" t="n">
        <v>48</v>
      </c>
      <c r="D1122" s="9" t="n">
        <v>33</v>
      </c>
      <c r="E1122" s="10">
        <f>COMBIN(A1122,D1122)/COMBIN(A1122-B1122,D1122)</f>
        <v/>
      </c>
      <c r="F1122" s="11">
        <f>ROUNDUP(E1122*Controls!$B$4,4)</f>
        <v/>
      </c>
      <c r="G1122" s="12">
        <f>F1122/E1122</f>
        <v/>
      </c>
      <c r="H1122" s="10">
        <f>(A1122-B1122-(D1122-1))/(A1122-(D1122-1))</f>
        <v/>
      </c>
      <c r="I1122" s="9">
        <f>A1122&amp;'x'&amp;B1122</f>
        <v/>
      </c>
      <c r="J1122" s="9">
        <f>IF(AND(G1122&gt;0.9,G1122&lt;1),"OK","CHECK")</f>
        <v/>
      </c>
    </row>
    <row r="1123">
      <c r="A1123" s="9" t="n">
        <v>49</v>
      </c>
      <c r="B1123" s="9" t="n">
        <v>1</v>
      </c>
      <c r="C1123" s="9" t="n">
        <v>48</v>
      </c>
      <c r="D1123" s="9" t="n">
        <v>34</v>
      </c>
      <c r="E1123" s="10">
        <f>COMBIN(A1123,D1123)/COMBIN(A1123-B1123,D1123)</f>
        <v/>
      </c>
      <c r="F1123" s="11">
        <f>ROUNDUP(E1123*Controls!$B$4,4)</f>
        <v/>
      </c>
      <c r="G1123" s="12">
        <f>F1123/E1123</f>
        <v/>
      </c>
      <c r="H1123" s="10">
        <f>(A1123-B1123-(D1123-1))/(A1123-(D1123-1))</f>
        <v/>
      </c>
      <c r="I1123" s="9">
        <f>A1123&amp;'x'&amp;B1123</f>
        <v/>
      </c>
      <c r="J1123" s="9">
        <f>IF(AND(G1123&gt;0.9,G1123&lt;1),"OK","CHECK")</f>
        <v/>
      </c>
    </row>
    <row r="1124">
      <c r="A1124" s="9" t="n">
        <v>49</v>
      </c>
      <c r="B1124" s="9" t="n">
        <v>1</v>
      </c>
      <c r="C1124" s="9" t="n">
        <v>48</v>
      </c>
      <c r="D1124" s="9" t="n">
        <v>35</v>
      </c>
      <c r="E1124" s="10">
        <f>COMBIN(A1124,D1124)/COMBIN(A1124-B1124,D1124)</f>
        <v/>
      </c>
      <c r="F1124" s="11">
        <f>ROUNDUP(E1124*Controls!$B$4,4)</f>
        <v/>
      </c>
      <c r="G1124" s="12">
        <f>F1124/E1124</f>
        <v/>
      </c>
      <c r="H1124" s="10">
        <f>(A1124-B1124-(D1124-1))/(A1124-(D1124-1))</f>
        <v/>
      </c>
      <c r="I1124" s="9">
        <f>A1124&amp;'x'&amp;B1124</f>
        <v/>
      </c>
      <c r="J1124" s="9">
        <f>IF(AND(G1124&gt;0.9,G1124&lt;1),"OK","CHECK")</f>
        <v/>
      </c>
    </row>
    <row r="1125">
      <c r="A1125" s="9" t="n">
        <v>49</v>
      </c>
      <c r="B1125" s="9" t="n">
        <v>1</v>
      </c>
      <c r="C1125" s="9" t="n">
        <v>48</v>
      </c>
      <c r="D1125" s="9" t="n">
        <v>36</v>
      </c>
      <c r="E1125" s="10">
        <f>COMBIN(A1125,D1125)/COMBIN(A1125-B1125,D1125)</f>
        <v/>
      </c>
      <c r="F1125" s="11">
        <f>ROUNDUP(E1125*Controls!$B$4,4)</f>
        <v/>
      </c>
      <c r="G1125" s="12">
        <f>F1125/E1125</f>
        <v/>
      </c>
      <c r="H1125" s="10">
        <f>(A1125-B1125-(D1125-1))/(A1125-(D1125-1))</f>
        <v/>
      </c>
      <c r="I1125" s="9">
        <f>A1125&amp;'x'&amp;B1125</f>
        <v/>
      </c>
      <c r="J1125" s="9">
        <f>IF(AND(G1125&gt;0.9,G1125&lt;1),"OK","CHECK")</f>
        <v/>
      </c>
    </row>
    <row r="1126">
      <c r="A1126" s="9" t="n">
        <v>49</v>
      </c>
      <c r="B1126" s="9" t="n">
        <v>1</v>
      </c>
      <c r="C1126" s="9" t="n">
        <v>48</v>
      </c>
      <c r="D1126" s="9" t="n">
        <v>37</v>
      </c>
      <c r="E1126" s="10">
        <f>COMBIN(A1126,D1126)/COMBIN(A1126-B1126,D1126)</f>
        <v/>
      </c>
      <c r="F1126" s="11">
        <f>ROUNDUP(E1126*Controls!$B$4,4)</f>
        <v/>
      </c>
      <c r="G1126" s="12">
        <f>F1126/E1126</f>
        <v/>
      </c>
      <c r="H1126" s="10">
        <f>(A1126-B1126-(D1126-1))/(A1126-(D1126-1))</f>
        <v/>
      </c>
      <c r="I1126" s="9">
        <f>A1126&amp;'x'&amp;B1126</f>
        <v/>
      </c>
      <c r="J1126" s="9">
        <f>IF(AND(G1126&gt;0.9,G1126&lt;1),"OK","CHECK")</f>
        <v/>
      </c>
    </row>
    <row r="1127">
      <c r="A1127" s="9" t="n">
        <v>49</v>
      </c>
      <c r="B1127" s="9" t="n">
        <v>1</v>
      </c>
      <c r="C1127" s="9" t="n">
        <v>48</v>
      </c>
      <c r="D1127" s="9" t="n">
        <v>38</v>
      </c>
      <c r="E1127" s="10">
        <f>COMBIN(A1127,D1127)/COMBIN(A1127-B1127,D1127)</f>
        <v/>
      </c>
      <c r="F1127" s="11">
        <f>ROUNDUP(E1127*Controls!$B$4,4)</f>
        <v/>
      </c>
      <c r="G1127" s="12">
        <f>F1127/E1127</f>
        <v/>
      </c>
      <c r="H1127" s="10">
        <f>(A1127-B1127-(D1127-1))/(A1127-(D1127-1))</f>
        <v/>
      </c>
      <c r="I1127" s="9">
        <f>A1127&amp;'x'&amp;B1127</f>
        <v/>
      </c>
      <c r="J1127" s="9">
        <f>IF(AND(G1127&gt;0.9,G1127&lt;1),"OK","CHECK")</f>
        <v/>
      </c>
    </row>
    <row r="1128">
      <c r="A1128" s="9" t="n">
        <v>49</v>
      </c>
      <c r="B1128" s="9" t="n">
        <v>1</v>
      </c>
      <c r="C1128" s="9" t="n">
        <v>48</v>
      </c>
      <c r="D1128" s="9" t="n">
        <v>39</v>
      </c>
      <c r="E1128" s="10">
        <f>COMBIN(A1128,D1128)/COMBIN(A1128-B1128,D1128)</f>
        <v/>
      </c>
      <c r="F1128" s="11">
        <f>ROUNDUP(E1128*Controls!$B$4,4)</f>
        <v/>
      </c>
      <c r="G1128" s="12">
        <f>F1128/E1128</f>
        <v/>
      </c>
      <c r="H1128" s="10">
        <f>(A1128-B1128-(D1128-1))/(A1128-(D1128-1))</f>
        <v/>
      </c>
      <c r="I1128" s="9">
        <f>A1128&amp;'x'&amp;B1128</f>
        <v/>
      </c>
      <c r="J1128" s="9">
        <f>IF(AND(G1128&gt;0.9,G1128&lt;1),"OK","CHECK")</f>
        <v/>
      </c>
    </row>
    <row r="1129">
      <c r="A1129" s="9" t="n">
        <v>49</v>
      </c>
      <c r="B1129" s="9" t="n">
        <v>1</v>
      </c>
      <c r="C1129" s="9" t="n">
        <v>48</v>
      </c>
      <c r="D1129" s="9" t="n">
        <v>40</v>
      </c>
      <c r="E1129" s="10">
        <f>COMBIN(A1129,D1129)/COMBIN(A1129-B1129,D1129)</f>
        <v/>
      </c>
      <c r="F1129" s="11">
        <f>ROUNDUP(E1129*Controls!$B$4,4)</f>
        <v/>
      </c>
      <c r="G1129" s="12">
        <f>F1129/E1129</f>
        <v/>
      </c>
      <c r="H1129" s="10">
        <f>(A1129-B1129-(D1129-1))/(A1129-(D1129-1))</f>
        <v/>
      </c>
      <c r="I1129" s="9">
        <f>A1129&amp;'x'&amp;B1129</f>
        <v/>
      </c>
      <c r="J1129" s="9">
        <f>IF(AND(G1129&gt;0.9,G1129&lt;1),"OK","CHECK")</f>
        <v/>
      </c>
    </row>
    <row r="1130">
      <c r="A1130" s="9" t="n">
        <v>49</v>
      </c>
      <c r="B1130" s="9" t="n">
        <v>1</v>
      </c>
      <c r="C1130" s="9" t="n">
        <v>48</v>
      </c>
      <c r="D1130" s="9" t="n">
        <v>41</v>
      </c>
      <c r="E1130" s="10">
        <f>COMBIN(A1130,D1130)/COMBIN(A1130-B1130,D1130)</f>
        <v/>
      </c>
      <c r="F1130" s="11">
        <f>ROUNDUP(E1130*Controls!$B$4,4)</f>
        <v/>
      </c>
      <c r="G1130" s="12">
        <f>F1130/E1130</f>
        <v/>
      </c>
      <c r="H1130" s="10">
        <f>(A1130-B1130-(D1130-1))/(A1130-(D1130-1))</f>
        <v/>
      </c>
      <c r="I1130" s="9">
        <f>A1130&amp;'x'&amp;B1130</f>
        <v/>
      </c>
      <c r="J1130" s="9">
        <f>IF(AND(G1130&gt;0.9,G1130&lt;1),"OK","CHECK")</f>
        <v/>
      </c>
    </row>
    <row r="1131">
      <c r="A1131" s="9" t="n">
        <v>49</v>
      </c>
      <c r="B1131" s="9" t="n">
        <v>1</v>
      </c>
      <c r="C1131" s="9" t="n">
        <v>48</v>
      </c>
      <c r="D1131" s="9" t="n">
        <v>42</v>
      </c>
      <c r="E1131" s="10">
        <f>COMBIN(A1131,D1131)/COMBIN(A1131-B1131,D1131)</f>
        <v/>
      </c>
      <c r="F1131" s="11">
        <f>ROUNDUP(E1131*Controls!$B$4,4)</f>
        <v/>
      </c>
      <c r="G1131" s="12">
        <f>F1131/E1131</f>
        <v/>
      </c>
      <c r="H1131" s="10">
        <f>(A1131-B1131-(D1131-1))/(A1131-(D1131-1))</f>
        <v/>
      </c>
      <c r="I1131" s="9">
        <f>A1131&amp;'x'&amp;B1131</f>
        <v/>
      </c>
      <c r="J1131" s="9">
        <f>IF(AND(G1131&gt;0.9,G1131&lt;1),"OK","CHECK")</f>
        <v/>
      </c>
    </row>
    <row r="1132">
      <c r="A1132" s="9" t="n">
        <v>49</v>
      </c>
      <c r="B1132" s="9" t="n">
        <v>1</v>
      </c>
      <c r="C1132" s="9" t="n">
        <v>48</v>
      </c>
      <c r="D1132" s="9" t="n">
        <v>43</v>
      </c>
      <c r="E1132" s="10">
        <f>COMBIN(A1132,D1132)/COMBIN(A1132-B1132,D1132)</f>
        <v/>
      </c>
      <c r="F1132" s="11">
        <f>ROUNDUP(E1132*Controls!$B$4,4)</f>
        <v/>
      </c>
      <c r="G1132" s="12">
        <f>F1132/E1132</f>
        <v/>
      </c>
      <c r="H1132" s="10">
        <f>(A1132-B1132-(D1132-1))/(A1132-(D1132-1))</f>
        <v/>
      </c>
      <c r="I1132" s="9">
        <f>A1132&amp;'x'&amp;B1132</f>
        <v/>
      </c>
      <c r="J1132" s="9">
        <f>IF(AND(G1132&gt;0.9,G1132&lt;1),"OK","CHECK")</f>
        <v/>
      </c>
    </row>
    <row r="1133">
      <c r="A1133" s="9" t="n">
        <v>49</v>
      </c>
      <c r="B1133" s="9" t="n">
        <v>1</v>
      </c>
      <c r="C1133" s="9" t="n">
        <v>48</v>
      </c>
      <c r="D1133" s="9" t="n">
        <v>44</v>
      </c>
      <c r="E1133" s="10">
        <f>COMBIN(A1133,D1133)/COMBIN(A1133-B1133,D1133)</f>
        <v/>
      </c>
      <c r="F1133" s="11">
        <f>ROUNDUP(E1133*Controls!$B$4,4)</f>
        <v/>
      </c>
      <c r="G1133" s="12">
        <f>F1133/E1133</f>
        <v/>
      </c>
      <c r="H1133" s="10">
        <f>(A1133-B1133-(D1133-1))/(A1133-(D1133-1))</f>
        <v/>
      </c>
      <c r="I1133" s="9">
        <f>A1133&amp;'x'&amp;B1133</f>
        <v/>
      </c>
      <c r="J1133" s="9">
        <f>IF(AND(G1133&gt;0.9,G1133&lt;1),"OK","CHECK")</f>
        <v/>
      </c>
    </row>
    <row r="1134">
      <c r="A1134" s="9" t="n">
        <v>49</v>
      </c>
      <c r="B1134" s="9" t="n">
        <v>1</v>
      </c>
      <c r="C1134" s="9" t="n">
        <v>48</v>
      </c>
      <c r="D1134" s="9" t="n">
        <v>45</v>
      </c>
      <c r="E1134" s="10">
        <f>COMBIN(A1134,D1134)/COMBIN(A1134-B1134,D1134)</f>
        <v/>
      </c>
      <c r="F1134" s="11">
        <f>ROUNDUP(E1134*Controls!$B$4,4)</f>
        <v/>
      </c>
      <c r="G1134" s="12">
        <f>F1134/E1134</f>
        <v/>
      </c>
      <c r="H1134" s="10">
        <f>(A1134-B1134-(D1134-1))/(A1134-(D1134-1))</f>
        <v/>
      </c>
      <c r="I1134" s="9">
        <f>A1134&amp;'x'&amp;B1134</f>
        <v/>
      </c>
      <c r="J1134" s="9">
        <f>IF(AND(G1134&gt;0.9,G1134&lt;1),"OK","CHECK")</f>
        <v/>
      </c>
    </row>
    <row r="1135">
      <c r="A1135" s="9" t="n">
        <v>49</v>
      </c>
      <c r="B1135" s="9" t="n">
        <v>1</v>
      </c>
      <c r="C1135" s="9" t="n">
        <v>48</v>
      </c>
      <c r="D1135" s="9" t="n">
        <v>46</v>
      </c>
      <c r="E1135" s="10">
        <f>COMBIN(A1135,D1135)/COMBIN(A1135-B1135,D1135)</f>
        <v/>
      </c>
      <c r="F1135" s="11">
        <f>ROUNDUP(E1135*Controls!$B$4,4)</f>
        <v/>
      </c>
      <c r="G1135" s="12">
        <f>F1135/E1135</f>
        <v/>
      </c>
      <c r="H1135" s="10">
        <f>(A1135-B1135-(D1135-1))/(A1135-(D1135-1))</f>
        <v/>
      </c>
      <c r="I1135" s="9">
        <f>A1135&amp;'x'&amp;B1135</f>
        <v/>
      </c>
      <c r="J1135" s="9">
        <f>IF(AND(G1135&gt;0.9,G1135&lt;1),"OK","CHECK")</f>
        <v/>
      </c>
    </row>
    <row r="1136">
      <c r="A1136" s="9" t="n">
        <v>49</v>
      </c>
      <c r="B1136" s="9" t="n">
        <v>1</v>
      </c>
      <c r="C1136" s="9" t="n">
        <v>48</v>
      </c>
      <c r="D1136" s="9" t="n">
        <v>47</v>
      </c>
      <c r="E1136" s="10">
        <f>COMBIN(A1136,D1136)/COMBIN(A1136-B1136,D1136)</f>
        <v/>
      </c>
      <c r="F1136" s="11">
        <f>ROUNDUP(E1136*Controls!$B$4,4)</f>
        <v/>
      </c>
      <c r="G1136" s="12">
        <f>F1136/E1136</f>
        <v/>
      </c>
      <c r="H1136" s="10">
        <f>(A1136-B1136-(D1136-1))/(A1136-(D1136-1))</f>
        <v/>
      </c>
      <c r="I1136" s="9">
        <f>A1136&amp;'x'&amp;B1136</f>
        <v/>
      </c>
      <c r="J1136" s="9">
        <f>IF(AND(G1136&gt;0.9,G1136&lt;1),"OK","CHECK")</f>
        <v/>
      </c>
    </row>
    <row r="1137">
      <c r="A1137" s="9" t="n">
        <v>49</v>
      </c>
      <c r="B1137" s="9" t="n">
        <v>1</v>
      </c>
      <c r="C1137" s="9" t="n">
        <v>48</v>
      </c>
      <c r="D1137" s="9" t="n">
        <v>48</v>
      </c>
      <c r="E1137" s="10">
        <f>COMBIN(A1137,D1137)/COMBIN(A1137-B1137,D1137)</f>
        <v/>
      </c>
      <c r="F1137" s="11">
        <f>ROUNDUP(E1137*Controls!$B$4,4)</f>
        <v/>
      </c>
      <c r="G1137" s="12">
        <f>F1137/E1137</f>
        <v/>
      </c>
      <c r="H1137" s="10">
        <f>(A1137-B1137-(D1137-1))/(A1137-(D1137-1))</f>
        <v/>
      </c>
      <c r="I1137" s="9">
        <f>A1137&amp;'x'&amp;B1137</f>
        <v/>
      </c>
      <c r="J1137" s="9">
        <f>IF(AND(G1137&gt;0.9,G1137&lt;1),"OK","CHECK")</f>
        <v/>
      </c>
    </row>
    <row r="1138">
      <c r="A1138" s="9" t="n">
        <v>49</v>
      </c>
      <c r="B1138" s="9" t="n">
        <v>2</v>
      </c>
      <c r="C1138" s="9" t="n">
        <v>47</v>
      </c>
      <c r="D1138" s="9" t="n">
        <v>1</v>
      </c>
      <c r="E1138" s="10">
        <f>COMBIN(A1138,D1138)/COMBIN(A1138-B1138,D1138)</f>
        <v/>
      </c>
      <c r="F1138" s="11">
        <f>ROUNDUP(E1138*Controls!$B$4,4)</f>
        <v/>
      </c>
      <c r="G1138" s="12">
        <f>F1138/E1138</f>
        <v/>
      </c>
      <c r="H1138" s="10">
        <f>(A1138-B1138-(D1138-1))/(A1138-(D1138-1))</f>
        <v/>
      </c>
      <c r="I1138" s="9">
        <f>A1138&amp;'x'&amp;B1138</f>
        <v/>
      </c>
      <c r="J1138" s="9">
        <f>IF(AND(G1138&gt;0.9,G1138&lt;1),"OK","CHECK")</f>
        <v/>
      </c>
    </row>
    <row r="1139">
      <c r="A1139" s="9" t="n">
        <v>49</v>
      </c>
      <c r="B1139" s="9" t="n">
        <v>2</v>
      </c>
      <c r="C1139" s="9" t="n">
        <v>47</v>
      </c>
      <c r="D1139" s="9" t="n">
        <v>2</v>
      </c>
      <c r="E1139" s="10">
        <f>COMBIN(A1139,D1139)/COMBIN(A1139-B1139,D1139)</f>
        <v/>
      </c>
      <c r="F1139" s="11">
        <f>ROUNDUP(E1139*Controls!$B$4,4)</f>
        <v/>
      </c>
      <c r="G1139" s="12">
        <f>F1139/E1139</f>
        <v/>
      </c>
      <c r="H1139" s="10">
        <f>(A1139-B1139-(D1139-1))/(A1139-(D1139-1))</f>
        <v/>
      </c>
      <c r="I1139" s="9">
        <f>A1139&amp;'x'&amp;B1139</f>
        <v/>
      </c>
      <c r="J1139" s="9">
        <f>IF(AND(G1139&gt;0.9,G1139&lt;1),"OK","CHECK")</f>
        <v/>
      </c>
    </row>
    <row r="1140">
      <c r="A1140" s="9" t="n">
        <v>49</v>
      </c>
      <c r="B1140" s="9" t="n">
        <v>2</v>
      </c>
      <c r="C1140" s="9" t="n">
        <v>47</v>
      </c>
      <c r="D1140" s="9" t="n">
        <v>3</v>
      </c>
      <c r="E1140" s="10">
        <f>COMBIN(A1140,D1140)/COMBIN(A1140-B1140,D1140)</f>
        <v/>
      </c>
      <c r="F1140" s="11">
        <f>ROUNDUP(E1140*Controls!$B$4,4)</f>
        <v/>
      </c>
      <c r="G1140" s="12">
        <f>F1140/E1140</f>
        <v/>
      </c>
      <c r="H1140" s="10">
        <f>(A1140-B1140-(D1140-1))/(A1140-(D1140-1))</f>
        <v/>
      </c>
      <c r="I1140" s="9">
        <f>A1140&amp;'x'&amp;B1140</f>
        <v/>
      </c>
      <c r="J1140" s="9">
        <f>IF(AND(G1140&gt;0.9,G1140&lt;1),"OK","CHECK")</f>
        <v/>
      </c>
    </row>
    <row r="1141">
      <c r="A1141" s="9" t="n">
        <v>49</v>
      </c>
      <c r="B1141" s="9" t="n">
        <v>2</v>
      </c>
      <c r="C1141" s="9" t="n">
        <v>47</v>
      </c>
      <c r="D1141" s="9" t="n">
        <v>4</v>
      </c>
      <c r="E1141" s="10">
        <f>COMBIN(A1141,D1141)/COMBIN(A1141-B1141,D1141)</f>
        <v/>
      </c>
      <c r="F1141" s="11">
        <f>ROUNDUP(E1141*Controls!$B$4,4)</f>
        <v/>
      </c>
      <c r="G1141" s="12">
        <f>F1141/E1141</f>
        <v/>
      </c>
      <c r="H1141" s="10">
        <f>(A1141-B1141-(D1141-1))/(A1141-(D1141-1))</f>
        <v/>
      </c>
      <c r="I1141" s="9">
        <f>A1141&amp;'x'&amp;B1141</f>
        <v/>
      </c>
      <c r="J1141" s="9">
        <f>IF(AND(G1141&gt;0.9,G1141&lt;1),"OK","CHECK")</f>
        <v/>
      </c>
    </row>
    <row r="1142">
      <c r="A1142" s="9" t="n">
        <v>49</v>
      </c>
      <c r="B1142" s="9" t="n">
        <v>2</v>
      </c>
      <c r="C1142" s="9" t="n">
        <v>47</v>
      </c>
      <c r="D1142" s="9" t="n">
        <v>5</v>
      </c>
      <c r="E1142" s="10">
        <f>COMBIN(A1142,D1142)/COMBIN(A1142-B1142,D1142)</f>
        <v/>
      </c>
      <c r="F1142" s="11">
        <f>ROUNDUP(E1142*Controls!$B$4,4)</f>
        <v/>
      </c>
      <c r="G1142" s="12">
        <f>F1142/E1142</f>
        <v/>
      </c>
      <c r="H1142" s="10">
        <f>(A1142-B1142-(D1142-1))/(A1142-(D1142-1))</f>
        <v/>
      </c>
      <c r="I1142" s="9">
        <f>A1142&amp;'x'&amp;B1142</f>
        <v/>
      </c>
      <c r="J1142" s="9">
        <f>IF(AND(G1142&gt;0.9,G1142&lt;1),"OK","CHECK")</f>
        <v/>
      </c>
    </row>
    <row r="1143">
      <c r="A1143" s="9" t="n">
        <v>49</v>
      </c>
      <c r="B1143" s="9" t="n">
        <v>2</v>
      </c>
      <c r="C1143" s="9" t="n">
        <v>47</v>
      </c>
      <c r="D1143" s="9" t="n">
        <v>6</v>
      </c>
      <c r="E1143" s="10">
        <f>COMBIN(A1143,D1143)/COMBIN(A1143-B1143,D1143)</f>
        <v/>
      </c>
      <c r="F1143" s="11">
        <f>ROUNDUP(E1143*Controls!$B$4,4)</f>
        <v/>
      </c>
      <c r="G1143" s="12">
        <f>F1143/E1143</f>
        <v/>
      </c>
      <c r="H1143" s="10">
        <f>(A1143-B1143-(D1143-1))/(A1143-(D1143-1))</f>
        <v/>
      </c>
      <c r="I1143" s="9">
        <f>A1143&amp;'x'&amp;B1143</f>
        <v/>
      </c>
      <c r="J1143" s="9">
        <f>IF(AND(G1143&gt;0.9,G1143&lt;1),"OK","CHECK")</f>
        <v/>
      </c>
    </row>
    <row r="1144">
      <c r="A1144" s="9" t="n">
        <v>49</v>
      </c>
      <c r="B1144" s="9" t="n">
        <v>2</v>
      </c>
      <c r="C1144" s="9" t="n">
        <v>47</v>
      </c>
      <c r="D1144" s="9" t="n">
        <v>7</v>
      </c>
      <c r="E1144" s="10">
        <f>COMBIN(A1144,D1144)/COMBIN(A1144-B1144,D1144)</f>
        <v/>
      </c>
      <c r="F1144" s="11">
        <f>ROUNDUP(E1144*Controls!$B$4,4)</f>
        <v/>
      </c>
      <c r="G1144" s="12">
        <f>F1144/E1144</f>
        <v/>
      </c>
      <c r="H1144" s="10">
        <f>(A1144-B1144-(D1144-1))/(A1144-(D1144-1))</f>
        <v/>
      </c>
      <c r="I1144" s="9">
        <f>A1144&amp;'x'&amp;B1144</f>
        <v/>
      </c>
      <c r="J1144" s="9">
        <f>IF(AND(G1144&gt;0.9,G1144&lt;1),"OK","CHECK")</f>
        <v/>
      </c>
    </row>
    <row r="1145">
      <c r="A1145" s="9" t="n">
        <v>49</v>
      </c>
      <c r="B1145" s="9" t="n">
        <v>2</v>
      </c>
      <c r="C1145" s="9" t="n">
        <v>47</v>
      </c>
      <c r="D1145" s="9" t="n">
        <v>8</v>
      </c>
      <c r="E1145" s="10">
        <f>COMBIN(A1145,D1145)/COMBIN(A1145-B1145,D1145)</f>
        <v/>
      </c>
      <c r="F1145" s="11">
        <f>ROUNDUP(E1145*Controls!$B$4,4)</f>
        <v/>
      </c>
      <c r="G1145" s="12">
        <f>F1145/E1145</f>
        <v/>
      </c>
      <c r="H1145" s="10">
        <f>(A1145-B1145-(D1145-1))/(A1145-(D1145-1))</f>
        <v/>
      </c>
      <c r="I1145" s="9">
        <f>A1145&amp;'x'&amp;B1145</f>
        <v/>
      </c>
      <c r="J1145" s="9">
        <f>IF(AND(G1145&gt;0.9,G1145&lt;1),"OK","CHECK")</f>
        <v/>
      </c>
    </row>
    <row r="1146">
      <c r="A1146" s="9" t="n">
        <v>49</v>
      </c>
      <c r="B1146" s="9" t="n">
        <v>2</v>
      </c>
      <c r="C1146" s="9" t="n">
        <v>47</v>
      </c>
      <c r="D1146" s="9" t="n">
        <v>9</v>
      </c>
      <c r="E1146" s="10">
        <f>COMBIN(A1146,D1146)/COMBIN(A1146-B1146,D1146)</f>
        <v/>
      </c>
      <c r="F1146" s="11">
        <f>ROUNDUP(E1146*Controls!$B$4,4)</f>
        <v/>
      </c>
      <c r="G1146" s="12">
        <f>F1146/E1146</f>
        <v/>
      </c>
      <c r="H1146" s="10">
        <f>(A1146-B1146-(D1146-1))/(A1146-(D1146-1))</f>
        <v/>
      </c>
      <c r="I1146" s="9">
        <f>A1146&amp;'x'&amp;B1146</f>
        <v/>
      </c>
      <c r="J1146" s="9">
        <f>IF(AND(G1146&gt;0.9,G1146&lt;1),"OK","CHECK")</f>
        <v/>
      </c>
    </row>
    <row r="1147">
      <c r="A1147" s="9" t="n">
        <v>49</v>
      </c>
      <c r="B1147" s="9" t="n">
        <v>2</v>
      </c>
      <c r="C1147" s="9" t="n">
        <v>47</v>
      </c>
      <c r="D1147" s="9" t="n">
        <v>10</v>
      </c>
      <c r="E1147" s="10">
        <f>COMBIN(A1147,D1147)/COMBIN(A1147-B1147,D1147)</f>
        <v/>
      </c>
      <c r="F1147" s="11">
        <f>ROUNDUP(E1147*Controls!$B$4,4)</f>
        <v/>
      </c>
      <c r="G1147" s="12">
        <f>F1147/E1147</f>
        <v/>
      </c>
      <c r="H1147" s="10">
        <f>(A1147-B1147-(D1147-1))/(A1147-(D1147-1))</f>
        <v/>
      </c>
      <c r="I1147" s="9">
        <f>A1147&amp;'x'&amp;B1147</f>
        <v/>
      </c>
      <c r="J1147" s="9">
        <f>IF(AND(G1147&gt;0.9,G1147&lt;1),"OK","CHECK")</f>
        <v/>
      </c>
    </row>
    <row r="1148">
      <c r="A1148" s="9" t="n">
        <v>49</v>
      </c>
      <c r="B1148" s="9" t="n">
        <v>2</v>
      </c>
      <c r="C1148" s="9" t="n">
        <v>47</v>
      </c>
      <c r="D1148" s="9" t="n">
        <v>11</v>
      </c>
      <c r="E1148" s="10">
        <f>COMBIN(A1148,D1148)/COMBIN(A1148-B1148,D1148)</f>
        <v/>
      </c>
      <c r="F1148" s="11">
        <f>ROUNDUP(E1148*Controls!$B$4,4)</f>
        <v/>
      </c>
      <c r="G1148" s="12">
        <f>F1148/E1148</f>
        <v/>
      </c>
      <c r="H1148" s="10">
        <f>(A1148-B1148-(D1148-1))/(A1148-(D1148-1))</f>
        <v/>
      </c>
      <c r="I1148" s="9">
        <f>A1148&amp;'x'&amp;B1148</f>
        <v/>
      </c>
      <c r="J1148" s="9">
        <f>IF(AND(G1148&gt;0.9,G1148&lt;1),"OK","CHECK")</f>
        <v/>
      </c>
    </row>
    <row r="1149">
      <c r="A1149" s="9" t="n">
        <v>49</v>
      </c>
      <c r="B1149" s="9" t="n">
        <v>2</v>
      </c>
      <c r="C1149" s="9" t="n">
        <v>47</v>
      </c>
      <c r="D1149" s="9" t="n">
        <v>12</v>
      </c>
      <c r="E1149" s="10">
        <f>COMBIN(A1149,D1149)/COMBIN(A1149-B1149,D1149)</f>
        <v/>
      </c>
      <c r="F1149" s="11">
        <f>ROUNDUP(E1149*Controls!$B$4,4)</f>
        <v/>
      </c>
      <c r="G1149" s="12">
        <f>F1149/E1149</f>
        <v/>
      </c>
      <c r="H1149" s="10">
        <f>(A1149-B1149-(D1149-1))/(A1149-(D1149-1))</f>
        <v/>
      </c>
      <c r="I1149" s="9">
        <f>A1149&amp;'x'&amp;B1149</f>
        <v/>
      </c>
      <c r="J1149" s="9">
        <f>IF(AND(G1149&gt;0.9,G1149&lt;1),"OK","CHECK")</f>
        <v/>
      </c>
    </row>
    <row r="1150">
      <c r="A1150" s="9" t="n">
        <v>49</v>
      </c>
      <c r="B1150" s="9" t="n">
        <v>2</v>
      </c>
      <c r="C1150" s="9" t="n">
        <v>47</v>
      </c>
      <c r="D1150" s="9" t="n">
        <v>13</v>
      </c>
      <c r="E1150" s="10">
        <f>COMBIN(A1150,D1150)/COMBIN(A1150-B1150,D1150)</f>
        <v/>
      </c>
      <c r="F1150" s="11">
        <f>ROUNDUP(E1150*Controls!$B$4,4)</f>
        <v/>
      </c>
      <c r="G1150" s="12">
        <f>F1150/E1150</f>
        <v/>
      </c>
      <c r="H1150" s="10">
        <f>(A1150-B1150-(D1150-1))/(A1150-(D1150-1))</f>
        <v/>
      </c>
      <c r="I1150" s="9">
        <f>A1150&amp;'x'&amp;B1150</f>
        <v/>
      </c>
      <c r="J1150" s="9">
        <f>IF(AND(G1150&gt;0.9,G1150&lt;1),"OK","CHECK")</f>
        <v/>
      </c>
    </row>
    <row r="1151">
      <c r="A1151" s="9" t="n">
        <v>49</v>
      </c>
      <c r="B1151" s="9" t="n">
        <v>2</v>
      </c>
      <c r="C1151" s="9" t="n">
        <v>47</v>
      </c>
      <c r="D1151" s="9" t="n">
        <v>14</v>
      </c>
      <c r="E1151" s="10">
        <f>COMBIN(A1151,D1151)/COMBIN(A1151-B1151,D1151)</f>
        <v/>
      </c>
      <c r="F1151" s="11">
        <f>ROUNDUP(E1151*Controls!$B$4,4)</f>
        <v/>
      </c>
      <c r="G1151" s="12">
        <f>F1151/E1151</f>
        <v/>
      </c>
      <c r="H1151" s="10">
        <f>(A1151-B1151-(D1151-1))/(A1151-(D1151-1))</f>
        <v/>
      </c>
      <c r="I1151" s="9">
        <f>A1151&amp;'x'&amp;B1151</f>
        <v/>
      </c>
      <c r="J1151" s="9">
        <f>IF(AND(G1151&gt;0.9,G1151&lt;1),"OK","CHECK")</f>
        <v/>
      </c>
    </row>
    <row r="1152">
      <c r="A1152" s="9" t="n">
        <v>49</v>
      </c>
      <c r="B1152" s="9" t="n">
        <v>2</v>
      </c>
      <c r="C1152" s="9" t="n">
        <v>47</v>
      </c>
      <c r="D1152" s="9" t="n">
        <v>15</v>
      </c>
      <c r="E1152" s="10">
        <f>COMBIN(A1152,D1152)/COMBIN(A1152-B1152,D1152)</f>
        <v/>
      </c>
      <c r="F1152" s="11">
        <f>ROUNDUP(E1152*Controls!$B$4,4)</f>
        <v/>
      </c>
      <c r="G1152" s="12">
        <f>F1152/E1152</f>
        <v/>
      </c>
      <c r="H1152" s="10">
        <f>(A1152-B1152-(D1152-1))/(A1152-(D1152-1))</f>
        <v/>
      </c>
      <c r="I1152" s="9">
        <f>A1152&amp;'x'&amp;B1152</f>
        <v/>
      </c>
      <c r="J1152" s="9">
        <f>IF(AND(G1152&gt;0.9,G1152&lt;1),"OK","CHECK")</f>
        <v/>
      </c>
    </row>
    <row r="1153">
      <c r="A1153" s="9" t="n">
        <v>49</v>
      </c>
      <c r="B1153" s="9" t="n">
        <v>2</v>
      </c>
      <c r="C1153" s="9" t="n">
        <v>47</v>
      </c>
      <c r="D1153" s="9" t="n">
        <v>16</v>
      </c>
      <c r="E1153" s="10">
        <f>COMBIN(A1153,D1153)/COMBIN(A1153-B1153,D1153)</f>
        <v/>
      </c>
      <c r="F1153" s="11">
        <f>ROUNDUP(E1153*Controls!$B$4,4)</f>
        <v/>
      </c>
      <c r="G1153" s="12">
        <f>F1153/E1153</f>
        <v/>
      </c>
      <c r="H1153" s="10">
        <f>(A1153-B1153-(D1153-1))/(A1153-(D1153-1))</f>
        <v/>
      </c>
      <c r="I1153" s="9">
        <f>A1153&amp;'x'&amp;B1153</f>
        <v/>
      </c>
      <c r="J1153" s="9">
        <f>IF(AND(G1153&gt;0.9,G1153&lt;1),"OK","CHECK")</f>
        <v/>
      </c>
    </row>
    <row r="1154">
      <c r="A1154" s="9" t="n">
        <v>49</v>
      </c>
      <c r="B1154" s="9" t="n">
        <v>2</v>
      </c>
      <c r="C1154" s="9" t="n">
        <v>47</v>
      </c>
      <c r="D1154" s="9" t="n">
        <v>17</v>
      </c>
      <c r="E1154" s="10">
        <f>COMBIN(A1154,D1154)/COMBIN(A1154-B1154,D1154)</f>
        <v/>
      </c>
      <c r="F1154" s="11">
        <f>ROUNDUP(E1154*Controls!$B$4,4)</f>
        <v/>
      </c>
      <c r="G1154" s="12">
        <f>F1154/E1154</f>
        <v/>
      </c>
      <c r="H1154" s="10">
        <f>(A1154-B1154-(D1154-1))/(A1154-(D1154-1))</f>
        <v/>
      </c>
      <c r="I1154" s="9">
        <f>A1154&amp;'x'&amp;B1154</f>
        <v/>
      </c>
      <c r="J1154" s="9">
        <f>IF(AND(G1154&gt;0.9,G1154&lt;1),"OK","CHECK")</f>
        <v/>
      </c>
    </row>
    <row r="1155">
      <c r="A1155" s="9" t="n">
        <v>49</v>
      </c>
      <c r="B1155" s="9" t="n">
        <v>2</v>
      </c>
      <c r="C1155" s="9" t="n">
        <v>47</v>
      </c>
      <c r="D1155" s="9" t="n">
        <v>18</v>
      </c>
      <c r="E1155" s="10">
        <f>COMBIN(A1155,D1155)/COMBIN(A1155-B1155,D1155)</f>
        <v/>
      </c>
      <c r="F1155" s="11">
        <f>ROUNDUP(E1155*Controls!$B$4,4)</f>
        <v/>
      </c>
      <c r="G1155" s="12">
        <f>F1155/E1155</f>
        <v/>
      </c>
      <c r="H1155" s="10">
        <f>(A1155-B1155-(D1155-1))/(A1155-(D1155-1))</f>
        <v/>
      </c>
      <c r="I1155" s="9">
        <f>A1155&amp;'x'&amp;B1155</f>
        <v/>
      </c>
      <c r="J1155" s="9">
        <f>IF(AND(G1155&gt;0.9,G1155&lt;1),"OK","CHECK")</f>
        <v/>
      </c>
    </row>
    <row r="1156">
      <c r="A1156" s="9" t="n">
        <v>49</v>
      </c>
      <c r="B1156" s="9" t="n">
        <v>2</v>
      </c>
      <c r="C1156" s="9" t="n">
        <v>47</v>
      </c>
      <c r="D1156" s="9" t="n">
        <v>19</v>
      </c>
      <c r="E1156" s="10">
        <f>COMBIN(A1156,D1156)/COMBIN(A1156-B1156,D1156)</f>
        <v/>
      </c>
      <c r="F1156" s="11">
        <f>ROUNDUP(E1156*Controls!$B$4,4)</f>
        <v/>
      </c>
      <c r="G1156" s="12">
        <f>F1156/E1156</f>
        <v/>
      </c>
      <c r="H1156" s="10">
        <f>(A1156-B1156-(D1156-1))/(A1156-(D1156-1))</f>
        <v/>
      </c>
      <c r="I1156" s="9">
        <f>A1156&amp;'x'&amp;B1156</f>
        <v/>
      </c>
      <c r="J1156" s="9">
        <f>IF(AND(G1156&gt;0.9,G1156&lt;1),"OK","CHECK")</f>
        <v/>
      </c>
    </row>
    <row r="1157">
      <c r="A1157" s="9" t="n">
        <v>49</v>
      </c>
      <c r="B1157" s="9" t="n">
        <v>2</v>
      </c>
      <c r="C1157" s="9" t="n">
        <v>47</v>
      </c>
      <c r="D1157" s="9" t="n">
        <v>20</v>
      </c>
      <c r="E1157" s="10">
        <f>COMBIN(A1157,D1157)/COMBIN(A1157-B1157,D1157)</f>
        <v/>
      </c>
      <c r="F1157" s="11">
        <f>ROUNDUP(E1157*Controls!$B$4,4)</f>
        <v/>
      </c>
      <c r="G1157" s="12">
        <f>F1157/E1157</f>
        <v/>
      </c>
      <c r="H1157" s="10">
        <f>(A1157-B1157-(D1157-1))/(A1157-(D1157-1))</f>
        <v/>
      </c>
      <c r="I1157" s="9">
        <f>A1157&amp;'x'&amp;B1157</f>
        <v/>
      </c>
      <c r="J1157" s="9">
        <f>IF(AND(G1157&gt;0.9,G1157&lt;1),"OK","CHECK")</f>
        <v/>
      </c>
    </row>
    <row r="1158">
      <c r="A1158" s="9" t="n">
        <v>49</v>
      </c>
      <c r="B1158" s="9" t="n">
        <v>2</v>
      </c>
      <c r="C1158" s="9" t="n">
        <v>47</v>
      </c>
      <c r="D1158" s="9" t="n">
        <v>21</v>
      </c>
      <c r="E1158" s="10">
        <f>COMBIN(A1158,D1158)/COMBIN(A1158-B1158,D1158)</f>
        <v/>
      </c>
      <c r="F1158" s="11">
        <f>ROUNDUP(E1158*Controls!$B$4,4)</f>
        <v/>
      </c>
      <c r="G1158" s="12">
        <f>F1158/E1158</f>
        <v/>
      </c>
      <c r="H1158" s="10">
        <f>(A1158-B1158-(D1158-1))/(A1158-(D1158-1))</f>
        <v/>
      </c>
      <c r="I1158" s="9">
        <f>A1158&amp;'x'&amp;B1158</f>
        <v/>
      </c>
      <c r="J1158" s="9">
        <f>IF(AND(G1158&gt;0.9,G1158&lt;1),"OK","CHECK")</f>
        <v/>
      </c>
    </row>
    <row r="1159">
      <c r="A1159" s="9" t="n">
        <v>49</v>
      </c>
      <c r="B1159" s="9" t="n">
        <v>2</v>
      </c>
      <c r="C1159" s="9" t="n">
        <v>47</v>
      </c>
      <c r="D1159" s="9" t="n">
        <v>22</v>
      </c>
      <c r="E1159" s="10">
        <f>COMBIN(A1159,D1159)/COMBIN(A1159-B1159,D1159)</f>
        <v/>
      </c>
      <c r="F1159" s="11">
        <f>ROUNDUP(E1159*Controls!$B$4,4)</f>
        <v/>
      </c>
      <c r="G1159" s="12">
        <f>F1159/E1159</f>
        <v/>
      </c>
      <c r="H1159" s="10">
        <f>(A1159-B1159-(D1159-1))/(A1159-(D1159-1))</f>
        <v/>
      </c>
      <c r="I1159" s="9">
        <f>A1159&amp;'x'&amp;B1159</f>
        <v/>
      </c>
      <c r="J1159" s="9">
        <f>IF(AND(G1159&gt;0.9,G1159&lt;1),"OK","CHECK")</f>
        <v/>
      </c>
    </row>
    <row r="1160">
      <c r="A1160" s="9" t="n">
        <v>49</v>
      </c>
      <c r="B1160" s="9" t="n">
        <v>2</v>
      </c>
      <c r="C1160" s="9" t="n">
        <v>47</v>
      </c>
      <c r="D1160" s="9" t="n">
        <v>23</v>
      </c>
      <c r="E1160" s="10">
        <f>COMBIN(A1160,D1160)/COMBIN(A1160-B1160,D1160)</f>
        <v/>
      </c>
      <c r="F1160" s="11">
        <f>ROUNDUP(E1160*Controls!$B$4,4)</f>
        <v/>
      </c>
      <c r="G1160" s="12">
        <f>F1160/E1160</f>
        <v/>
      </c>
      <c r="H1160" s="10">
        <f>(A1160-B1160-(D1160-1))/(A1160-(D1160-1))</f>
        <v/>
      </c>
      <c r="I1160" s="9">
        <f>A1160&amp;'x'&amp;B1160</f>
        <v/>
      </c>
      <c r="J1160" s="9">
        <f>IF(AND(G1160&gt;0.9,G1160&lt;1),"OK","CHECK")</f>
        <v/>
      </c>
    </row>
    <row r="1161">
      <c r="A1161" s="9" t="n">
        <v>49</v>
      </c>
      <c r="B1161" s="9" t="n">
        <v>2</v>
      </c>
      <c r="C1161" s="9" t="n">
        <v>47</v>
      </c>
      <c r="D1161" s="9" t="n">
        <v>24</v>
      </c>
      <c r="E1161" s="10">
        <f>COMBIN(A1161,D1161)/COMBIN(A1161-B1161,D1161)</f>
        <v/>
      </c>
      <c r="F1161" s="11">
        <f>ROUNDUP(E1161*Controls!$B$4,4)</f>
        <v/>
      </c>
      <c r="G1161" s="12">
        <f>F1161/E1161</f>
        <v/>
      </c>
      <c r="H1161" s="10">
        <f>(A1161-B1161-(D1161-1))/(A1161-(D1161-1))</f>
        <v/>
      </c>
      <c r="I1161" s="9">
        <f>A1161&amp;'x'&amp;B1161</f>
        <v/>
      </c>
      <c r="J1161" s="9">
        <f>IF(AND(G1161&gt;0.9,G1161&lt;1),"OK","CHECK")</f>
        <v/>
      </c>
    </row>
    <row r="1162">
      <c r="A1162" s="9" t="n">
        <v>49</v>
      </c>
      <c r="B1162" s="9" t="n">
        <v>2</v>
      </c>
      <c r="C1162" s="9" t="n">
        <v>47</v>
      </c>
      <c r="D1162" s="9" t="n">
        <v>25</v>
      </c>
      <c r="E1162" s="10">
        <f>COMBIN(A1162,D1162)/COMBIN(A1162-B1162,D1162)</f>
        <v/>
      </c>
      <c r="F1162" s="11">
        <f>ROUNDUP(E1162*Controls!$B$4,4)</f>
        <v/>
      </c>
      <c r="G1162" s="12">
        <f>F1162/E1162</f>
        <v/>
      </c>
      <c r="H1162" s="10">
        <f>(A1162-B1162-(D1162-1))/(A1162-(D1162-1))</f>
        <v/>
      </c>
      <c r="I1162" s="9">
        <f>A1162&amp;'x'&amp;B1162</f>
        <v/>
      </c>
      <c r="J1162" s="9">
        <f>IF(AND(G1162&gt;0.9,G1162&lt;1),"OK","CHECK")</f>
        <v/>
      </c>
    </row>
    <row r="1163">
      <c r="A1163" s="9" t="n">
        <v>49</v>
      </c>
      <c r="B1163" s="9" t="n">
        <v>2</v>
      </c>
      <c r="C1163" s="9" t="n">
        <v>47</v>
      </c>
      <c r="D1163" s="9" t="n">
        <v>26</v>
      </c>
      <c r="E1163" s="10">
        <f>COMBIN(A1163,D1163)/COMBIN(A1163-B1163,D1163)</f>
        <v/>
      </c>
      <c r="F1163" s="11">
        <f>ROUNDUP(E1163*Controls!$B$4,4)</f>
        <v/>
      </c>
      <c r="G1163" s="12">
        <f>F1163/E1163</f>
        <v/>
      </c>
      <c r="H1163" s="10">
        <f>(A1163-B1163-(D1163-1))/(A1163-(D1163-1))</f>
        <v/>
      </c>
      <c r="I1163" s="9">
        <f>A1163&amp;'x'&amp;B1163</f>
        <v/>
      </c>
      <c r="J1163" s="9">
        <f>IF(AND(G1163&gt;0.9,G1163&lt;1),"OK","CHECK")</f>
        <v/>
      </c>
    </row>
    <row r="1164">
      <c r="A1164" s="9" t="n">
        <v>49</v>
      </c>
      <c r="B1164" s="9" t="n">
        <v>2</v>
      </c>
      <c r="C1164" s="9" t="n">
        <v>47</v>
      </c>
      <c r="D1164" s="9" t="n">
        <v>27</v>
      </c>
      <c r="E1164" s="10">
        <f>COMBIN(A1164,D1164)/COMBIN(A1164-B1164,D1164)</f>
        <v/>
      </c>
      <c r="F1164" s="11">
        <f>ROUNDUP(E1164*Controls!$B$4,4)</f>
        <v/>
      </c>
      <c r="G1164" s="12">
        <f>F1164/E1164</f>
        <v/>
      </c>
      <c r="H1164" s="10">
        <f>(A1164-B1164-(D1164-1))/(A1164-(D1164-1))</f>
        <v/>
      </c>
      <c r="I1164" s="9">
        <f>A1164&amp;'x'&amp;B1164</f>
        <v/>
      </c>
      <c r="J1164" s="9">
        <f>IF(AND(G1164&gt;0.9,G1164&lt;1),"OK","CHECK")</f>
        <v/>
      </c>
    </row>
    <row r="1165">
      <c r="A1165" s="9" t="n">
        <v>49</v>
      </c>
      <c r="B1165" s="9" t="n">
        <v>2</v>
      </c>
      <c r="C1165" s="9" t="n">
        <v>47</v>
      </c>
      <c r="D1165" s="9" t="n">
        <v>28</v>
      </c>
      <c r="E1165" s="10">
        <f>COMBIN(A1165,D1165)/COMBIN(A1165-B1165,D1165)</f>
        <v/>
      </c>
      <c r="F1165" s="11">
        <f>ROUNDUP(E1165*Controls!$B$4,4)</f>
        <v/>
      </c>
      <c r="G1165" s="12">
        <f>F1165/E1165</f>
        <v/>
      </c>
      <c r="H1165" s="10">
        <f>(A1165-B1165-(D1165-1))/(A1165-(D1165-1))</f>
        <v/>
      </c>
      <c r="I1165" s="9">
        <f>A1165&amp;'x'&amp;B1165</f>
        <v/>
      </c>
      <c r="J1165" s="9">
        <f>IF(AND(G1165&gt;0.9,G1165&lt;1),"OK","CHECK")</f>
        <v/>
      </c>
    </row>
    <row r="1166">
      <c r="A1166" s="9" t="n">
        <v>49</v>
      </c>
      <c r="B1166" s="9" t="n">
        <v>2</v>
      </c>
      <c r="C1166" s="9" t="n">
        <v>47</v>
      </c>
      <c r="D1166" s="9" t="n">
        <v>29</v>
      </c>
      <c r="E1166" s="10">
        <f>COMBIN(A1166,D1166)/COMBIN(A1166-B1166,D1166)</f>
        <v/>
      </c>
      <c r="F1166" s="11">
        <f>ROUNDUP(E1166*Controls!$B$4,4)</f>
        <v/>
      </c>
      <c r="G1166" s="12">
        <f>F1166/E1166</f>
        <v/>
      </c>
      <c r="H1166" s="10">
        <f>(A1166-B1166-(D1166-1))/(A1166-(D1166-1))</f>
        <v/>
      </c>
      <c r="I1166" s="9">
        <f>A1166&amp;'x'&amp;B1166</f>
        <v/>
      </c>
      <c r="J1166" s="9">
        <f>IF(AND(G1166&gt;0.9,G1166&lt;1),"OK","CHECK")</f>
        <v/>
      </c>
    </row>
    <row r="1167">
      <c r="A1167" s="9" t="n">
        <v>49</v>
      </c>
      <c r="B1167" s="9" t="n">
        <v>2</v>
      </c>
      <c r="C1167" s="9" t="n">
        <v>47</v>
      </c>
      <c r="D1167" s="9" t="n">
        <v>30</v>
      </c>
      <c r="E1167" s="10">
        <f>COMBIN(A1167,D1167)/COMBIN(A1167-B1167,D1167)</f>
        <v/>
      </c>
      <c r="F1167" s="11">
        <f>ROUNDUP(E1167*Controls!$B$4,4)</f>
        <v/>
      </c>
      <c r="G1167" s="12">
        <f>F1167/E1167</f>
        <v/>
      </c>
      <c r="H1167" s="10">
        <f>(A1167-B1167-(D1167-1))/(A1167-(D1167-1))</f>
        <v/>
      </c>
      <c r="I1167" s="9">
        <f>A1167&amp;'x'&amp;B1167</f>
        <v/>
      </c>
      <c r="J1167" s="9">
        <f>IF(AND(G1167&gt;0.9,G1167&lt;1),"OK","CHECK")</f>
        <v/>
      </c>
    </row>
    <row r="1168">
      <c r="A1168" s="9" t="n">
        <v>49</v>
      </c>
      <c r="B1168" s="9" t="n">
        <v>2</v>
      </c>
      <c r="C1168" s="9" t="n">
        <v>47</v>
      </c>
      <c r="D1168" s="9" t="n">
        <v>31</v>
      </c>
      <c r="E1168" s="10">
        <f>COMBIN(A1168,D1168)/COMBIN(A1168-B1168,D1168)</f>
        <v/>
      </c>
      <c r="F1168" s="11">
        <f>ROUNDUP(E1168*Controls!$B$4,4)</f>
        <v/>
      </c>
      <c r="G1168" s="12">
        <f>F1168/E1168</f>
        <v/>
      </c>
      <c r="H1168" s="10">
        <f>(A1168-B1168-(D1168-1))/(A1168-(D1168-1))</f>
        <v/>
      </c>
      <c r="I1168" s="9">
        <f>A1168&amp;'x'&amp;B1168</f>
        <v/>
      </c>
      <c r="J1168" s="9">
        <f>IF(AND(G1168&gt;0.9,G1168&lt;1),"OK","CHECK")</f>
        <v/>
      </c>
    </row>
    <row r="1169">
      <c r="A1169" s="9" t="n">
        <v>49</v>
      </c>
      <c r="B1169" s="9" t="n">
        <v>2</v>
      </c>
      <c r="C1169" s="9" t="n">
        <v>47</v>
      </c>
      <c r="D1169" s="9" t="n">
        <v>32</v>
      </c>
      <c r="E1169" s="10">
        <f>COMBIN(A1169,D1169)/COMBIN(A1169-B1169,D1169)</f>
        <v/>
      </c>
      <c r="F1169" s="11">
        <f>ROUNDUP(E1169*Controls!$B$4,4)</f>
        <v/>
      </c>
      <c r="G1169" s="12">
        <f>F1169/E1169</f>
        <v/>
      </c>
      <c r="H1169" s="10">
        <f>(A1169-B1169-(D1169-1))/(A1169-(D1169-1))</f>
        <v/>
      </c>
      <c r="I1169" s="9">
        <f>A1169&amp;'x'&amp;B1169</f>
        <v/>
      </c>
      <c r="J1169" s="9">
        <f>IF(AND(G1169&gt;0.9,G1169&lt;1),"OK","CHECK")</f>
        <v/>
      </c>
    </row>
    <row r="1170">
      <c r="A1170" s="9" t="n">
        <v>49</v>
      </c>
      <c r="B1170" s="9" t="n">
        <v>2</v>
      </c>
      <c r="C1170" s="9" t="n">
        <v>47</v>
      </c>
      <c r="D1170" s="9" t="n">
        <v>33</v>
      </c>
      <c r="E1170" s="10">
        <f>COMBIN(A1170,D1170)/COMBIN(A1170-B1170,D1170)</f>
        <v/>
      </c>
      <c r="F1170" s="11">
        <f>ROUNDUP(E1170*Controls!$B$4,4)</f>
        <v/>
      </c>
      <c r="G1170" s="12">
        <f>F1170/E1170</f>
        <v/>
      </c>
      <c r="H1170" s="10">
        <f>(A1170-B1170-(D1170-1))/(A1170-(D1170-1))</f>
        <v/>
      </c>
      <c r="I1170" s="9">
        <f>A1170&amp;'x'&amp;B1170</f>
        <v/>
      </c>
      <c r="J1170" s="9">
        <f>IF(AND(G1170&gt;0.9,G1170&lt;1),"OK","CHECK")</f>
        <v/>
      </c>
    </row>
    <row r="1171">
      <c r="A1171" s="9" t="n">
        <v>49</v>
      </c>
      <c r="B1171" s="9" t="n">
        <v>2</v>
      </c>
      <c r="C1171" s="9" t="n">
        <v>47</v>
      </c>
      <c r="D1171" s="9" t="n">
        <v>34</v>
      </c>
      <c r="E1171" s="10">
        <f>COMBIN(A1171,D1171)/COMBIN(A1171-B1171,D1171)</f>
        <v/>
      </c>
      <c r="F1171" s="11">
        <f>ROUNDUP(E1171*Controls!$B$4,4)</f>
        <v/>
      </c>
      <c r="G1171" s="12">
        <f>F1171/E1171</f>
        <v/>
      </c>
      <c r="H1171" s="10">
        <f>(A1171-B1171-(D1171-1))/(A1171-(D1171-1))</f>
        <v/>
      </c>
      <c r="I1171" s="9">
        <f>A1171&amp;'x'&amp;B1171</f>
        <v/>
      </c>
      <c r="J1171" s="9">
        <f>IF(AND(G1171&gt;0.9,G1171&lt;1),"OK","CHECK")</f>
        <v/>
      </c>
    </row>
    <row r="1172">
      <c r="A1172" s="9" t="n">
        <v>49</v>
      </c>
      <c r="B1172" s="9" t="n">
        <v>2</v>
      </c>
      <c r="C1172" s="9" t="n">
        <v>47</v>
      </c>
      <c r="D1172" s="9" t="n">
        <v>35</v>
      </c>
      <c r="E1172" s="10">
        <f>COMBIN(A1172,D1172)/COMBIN(A1172-B1172,D1172)</f>
        <v/>
      </c>
      <c r="F1172" s="11">
        <f>ROUNDUP(E1172*Controls!$B$4,4)</f>
        <v/>
      </c>
      <c r="G1172" s="12">
        <f>F1172/E1172</f>
        <v/>
      </c>
      <c r="H1172" s="10">
        <f>(A1172-B1172-(D1172-1))/(A1172-(D1172-1))</f>
        <v/>
      </c>
      <c r="I1172" s="9">
        <f>A1172&amp;'x'&amp;B1172</f>
        <v/>
      </c>
      <c r="J1172" s="9">
        <f>IF(AND(G1172&gt;0.9,G1172&lt;1),"OK","CHECK")</f>
        <v/>
      </c>
    </row>
    <row r="1173">
      <c r="A1173" s="9" t="n">
        <v>49</v>
      </c>
      <c r="B1173" s="9" t="n">
        <v>2</v>
      </c>
      <c r="C1173" s="9" t="n">
        <v>47</v>
      </c>
      <c r="D1173" s="9" t="n">
        <v>36</v>
      </c>
      <c r="E1173" s="10">
        <f>COMBIN(A1173,D1173)/COMBIN(A1173-B1173,D1173)</f>
        <v/>
      </c>
      <c r="F1173" s="11">
        <f>ROUNDUP(E1173*Controls!$B$4,4)</f>
        <v/>
      </c>
      <c r="G1173" s="12">
        <f>F1173/E1173</f>
        <v/>
      </c>
      <c r="H1173" s="10">
        <f>(A1173-B1173-(D1173-1))/(A1173-(D1173-1))</f>
        <v/>
      </c>
      <c r="I1173" s="9">
        <f>A1173&amp;'x'&amp;B1173</f>
        <v/>
      </c>
      <c r="J1173" s="9">
        <f>IF(AND(G1173&gt;0.9,G1173&lt;1),"OK","CHECK")</f>
        <v/>
      </c>
    </row>
    <row r="1174">
      <c r="A1174" s="9" t="n">
        <v>49</v>
      </c>
      <c r="B1174" s="9" t="n">
        <v>2</v>
      </c>
      <c r="C1174" s="9" t="n">
        <v>47</v>
      </c>
      <c r="D1174" s="9" t="n">
        <v>37</v>
      </c>
      <c r="E1174" s="10">
        <f>COMBIN(A1174,D1174)/COMBIN(A1174-B1174,D1174)</f>
        <v/>
      </c>
      <c r="F1174" s="11">
        <f>ROUNDUP(E1174*Controls!$B$4,4)</f>
        <v/>
      </c>
      <c r="G1174" s="12">
        <f>F1174/E1174</f>
        <v/>
      </c>
      <c r="H1174" s="10">
        <f>(A1174-B1174-(D1174-1))/(A1174-(D1174-1))</f>
        <v/>
      </c>
      <c r="I1174" s="9">
        <f>A1174&amp;'x'&amp;B1174</f>
        <v/>
      </c>
      <c r="J1174" s="9">
        <f>IF(AND(G1174&gt;0.9,G1174&lt;1),"OK","CHECK")</f>
        <v/>
      </c>
    </row>
    <row r="1175">
      <c r="A1175" s="9" t="n">
        <v>49</v>
      </c>
      <c r="B1175" s="9" t="n">
        <v>2</v>
      </c>
      <c r="C1175" s="9" t="n">
        <v>47</v>
      </c>
      <c r="D1175" s="9" t="n">
        <v>38</v>
      </c>
      <c r="E1175" s="10">
        <f>COMBIN(A1175,D1175)/COMBIN(A1175-B1175,D1175)</f>
        <v/>
      </c>
      <c r="F1175" s="11">
        <f>ROUNDUP(E1175*Controls!$B$4,4)</f>
        <v/>
      </c>
      <c r="G1175" s="12">
        <f>F1175/E1175</f>
        <v/>
      </c>
      <c r="H1175" s="10">
        <f>(A1175-B1175-(D1175-1))/(A1175-(D1175-1))</f>
        <v/>
      </c>
      <c r="I1175" s="9">
        <f>A1175&amp;'x'&amp;B1175</f>
        <v/>
      </c>
      <c r="J1175" s="9">
        <f>IF(AND(G1175&gt;0.9,G1175&lt;1),"OK","CHECK")</f>
        <v/>
      </c>
    </row>
    <row r="1176">
      <c r="A1176" s="9" t="n">
        <v>49</v>
      </c>
      <c r="B1176" s="9" t="n">
        <v>2</v>
      </c>
      <c r="C1176" s="9" t="n">
        <v>47</v>
      </c>
      <c r="D1176" s="9" t="n">
        <v>39</v>
      </c>
      <c r="E1176" s="10">
        <f>COMBIN(A1176,D1176)/COMBIN(A1176-B1176,D1176)</f>
        <v/>
      </c>
      <c r="F1176" s="11">
        <f>ROUNDUP(E1176*Controls!$B$4,4)</f>
        <v/>
      </c>
      <c r="G1176" s="12">
        <f>F1176/E1176</f>
        <v/>
      </c>
      <c r="H1176" s="10">
        <f>(A1176-B1176-(D1176-1))/(A1176-(D1176-1))</f>
        <v/>
      </c>
      <c r="I1176" s="9">
        <f>A1176&amp;'x'&amp;B1176</f>
        <v/>
      </c>
      <c r="J1176" s="9">
        <f>IF(AND(G1176&gt;0.9,G1176&lt;1),"OK","CHECK")</f>
        <v/>
      </c>
    </row>
    <row r="1177">
      <c r="A1177" s="9" t="n">
        <v>49</v>
      </c>
      <c r="B1177" s="9" t="n">
        <v>2</v>
      </c>
      <c r="C1177" s="9" t="n">
        <v>47</v>
      </c>
      <c r="D1177" s="9" t="n">
        <v>40</v>
      </c>
      <c r="E1177" s="10">
        <f>COMBIN(A1177,D1177)/COMBIN(A1177-B1177,D1177)</f>
        <v/>
      </c>
      <c r="F1177" s="11">
        <f>ROUNDUP(E1177*Controls!$B$4,4)</f>
        <v/>
      </c>
      <c r="G1177" s="12">
        <f>F1177/E1177</f>
        <v/>
      </c>
      <c r="H1177" s="10">
        <f>(A1177-B1177-(D1177-1))/(A1177-(D1177-1))</f>
        <v/>
      </c>
      <c r="I1177" s="9">
        <f>A1177&amp;'x'&amp;B1177</f>
        <v/>
      </c>
      <c r="J1177" s="9">
        <f>IF(AND(G1177&gt;0.9,G1177&lt;1),"OK","CHECK")</f>
        <v/>
      </c>
    </row>
    <row r="1178">
      <c r="A1178" s="9" t="n">
        <v>49</v>
      </c>
      <c r="B1178" s="9" t="n">
        <v>2</v>
      </c>
      <c r="C1178" s="9" t="n">
        <v>47</v>
      </c>
      <c r="D1178" s="9" t="n">
        <v>41</v>
      </c>
      <c r="E1178" s="10">
        <f>COMBIN(A1178,D1178)/COMBIN(A1178-B1178,D1178)</f>
        <v/>
      </c>
      <c r="F1178" s="11">
        <f>ROUNDUP(E1178*Controls!$B$4,4)</f>
        <v/>
      </c>
      <c r="G1178" s="12">
        <f>F1178/E1178</f>
        <v/>
      </c>
      <c r="H1178" s="10">
        <f>(A1178-B1178-(D1178-1))/(A1178-(D1178-1))</f>
        <v/>
      </c>
      <c r="I1178" s="9">
        <f>A1178&amp;'x'&amp;B1178</f>
        <v/>
      </c>
      <c r="J1178" s="9">
        <f>IF(AND(G1178&gt;0.9,G1178&lt;1),"OK","CHECK")</f>
        <v/>
      </c>
    </row>
    <row r="1179">
      <c r="A1179" s="9" t="n">
        <v>49</v>
      </c>
      <c r="B1179" s="9" t="n">
        <v>2</v>
      </c>
      <c r="C1179" s="9" t="n">
        <v>47</v>
      </c>
      <c r="D1179" s="9" t="n">
        <v>42</v>
      </c>
      <c r="E1179" s="10">
        <f>COMBIN(A1179,D1179)/COMBIN(A1179-B1179,D1179)</f>
        <v/>
      </c>
      <c r="F1179" s="11">
        <f>ROUNDUP(E1179*Controls!$B$4,4)</f>
        <v/>
      </c>
      <c r="G1179" s="12">
        <f>F1179/E1179</f>
        <v/>
      </c>
      <c r="H1179" s="10">
        <f>(A1179-B1179-(D1179-1))/(A1179-(D1179-1))</f>
        <v/>
      </c>
      <c r="I1179" s="9">
        <f>A1179&amp;'x'&amp;B1179</f>
        <v/>
      </c>
      <c r="J1179" s="9">
        <f>IF(AND(G1179&gt;0.9,G1179&lt;1),"OK","CHECK")</f>
        <v/>
      </c>
    </row>
    <row r="1180">
      <c r="A1180" s="9" t="n">
        <v>49</v>
      </c>
      <c r="B1180" s="9" t="n">
        <v>2</v>
      </c>
      <c r="C1180" s="9" t="n">
        <v>47</v>
      </c>
      <c r="D1180" s="9" t="n">
        <v>43</v>
      </c>
      <c r="E1180" s="10">
        <f>COMBIN(A1180,D1180)/COMBIN(A1180-B1180,D1180)</f>
        <v/>
      </c>
      <c r="F1180" s="11">
        <f>ROUNDUP(E1180*Controls!$B$4,4)</f>
        <v/>
      </c>
      <c r="G1180" s="12">
        <f>F1180/E1180</f>
        <v/>
      </c>
      <c r="H1180" s="10">
        <f>(A1180-B1180-(D1180-1))/(A1180-(D1180-1))</f>
        <v/>
      </c>
      <c r="I1180" s="9">
        <f>A1180&amp;'x'&amp;B1180</f>
        <v/>
      </c>
      <c r="J1180" s="9">
        <f>IF(AND(G1180&gt;0.9,G1180&lt;1),"OK","CHECK")</f>
        <v/>
      </c>
    </row>
    <row r="1181">
      <c r="A1181" s="9" t="n">
        <v>49</v>
      </c>
      <c r="B1181" s="9" t="n">
        <v>2</v>
      </c>
      <c r="C1181" s="9" t="n">
        <v>47</v>
      </c>
      <c r="D1181" s="9" t="n">
        <v>44</v>
      </c>
      <c r="E1181" s="10">
        <f>COMBIN(A1181,D1181)/COMBIN(A1181-B1181,D1181)</f>
        <v/>
      </c>
      <c r="F1181" s="11">
        <f>ROUNDUP(E1181*Controls!$B$4,4)</f>
        <v/>
      </c>
      <c r="G1181" s="12">
        <f>F1181/E1181</f>
        <v/>
      </c>
      <c r="H1181" s="10">
        <f>(A1181-B1181-(D1181-1))/(A1181-(D1181-1))</f>
        <v/>
      </c>
      <c r="I1181" s="9">
        <f>A1181&amp;'x'&amp;B1181</f>
        <v/>
      </c>
      <c r="J1181" s="9">
        <f>IF(AND(G1181&gt;0.9,G1181&lt;1),"OK","CHECK")</f>
        <v/>
      </c>
    </row>
    <row r="1182">
      <c r="A1182" s="9" t="n">
        <v>49</v>
      </c>
      <c r="B1182" s="9" t="n">
        <v>2</v>
      </c>
      <c r="C1182" s="9" t="n">
        <v>47</v>
      </c>
      <c r="D1182" s="9" t="n">
        <v>45</v>
      </c>
      <c r="E1182" s="10">
        <f>COMBIN(A1182,D1182)/COMBIN(A1182-B1182,D1182)</f>
        <v/>
      </c>
      <c r="F1182" s="11">
        <f>ROUNDUP(E1182*Controls!$B$4,4)</f>
        <v/>
      </c>
      <c r="G1182" s="12">
        <f>F1182/E1182</f>
        <v/>
      </c>
      <c r="H1182" s="10">
        <f>(A1182-B1182-(D1182-1))/(A1182-(D1182-1))</f>
        <v/>
      </c>
      <c r="I1182" s="9">
        <f>A1182&amp;'x'&amp;B1182</f>
        <v/>
      </c>
      <c r="J1182" s="9">
        <f>IF(AND(G1182&gt;0.9,G1182&lt;1),"OK","CHECK")</f>
        <v/>
      </c>
    </row>
    <row r="1183">
      <c r="A1183" s="9" t="n">
        <v>49</v>
      </c>
      <c r="B1183" s="9" t="n">
        <v>2</v>
      </c>
      <c r="C1183" s="9" t="n">
        <v>47</v>
      </c>
      <c r="D1183" s="9" t="n">
        <v>46</v>
      </c>
      <c r="E1183" s="10">
        <f>COMBIN(A1183,D1183)/COMBIN(A1183-B1183,D1183)</f>
        <v/>
      </c>
      <c r="F1183" s="11">
        <f>ROUNDUP(E1183*Controls!$B$4,4)</f>
        <v/>
      </c>
      <c r="G1183" s="12">
        <f>F1183/E1183</f>
        <v/>
      </c>
      <c r="H1183" s="10">
        <f>(A1183-B1183-(D1183-1))/(A1183-(D1183-1))</f>
        <v/>
      </c>
      <c r="I1183" s="9">
        <f>A1183&amp;'x'&amp;B1183</f>
        <v/>
      </c>
      <c r="J1183" s="9">
        <f>IF(AND(G1183&gt;0.9,G1183&lt;1),"OK","CHECK")</f>
        <v/>
      </c>
    </row>
    <row r="1184">
      <c r="A1184" s="9" t="n">
        <v>49</v>
      </c>
      <c r="B1184" s="9" t="n">
        <v>2</v>
      </c>
      <c r="C1184" s="9" t="n">
        <v>47</v>
      </c>
      <c r="D1184" s="9" t="n">
        <v>47</v>
      </c>
      <c r="E1184" s="10">
        <f>COMBIN(A1184,D1184)/COMBIN(A1184-B1184,D1184)</f>
        <v/>
      </c>
      <c r="F1184" s="11">
        <f>ROUNDUP(E1184*Controls!$B$4,4)</f>
        <v/>
      </c>
      <c r="G1184" s="12">
        <f>F1184/E1184</f>
        <v/>
      </c>
      <c r="H1184" s="10">
        <f>(A1184-B1184-(D1184-1))/(A1184-(D1184-1))</f>
        <v/>
      </c>
      <c r="I1184" s="9">
        <f>A1184&amp;'x'&amp;B1184</f>
        <v/>
      </c>
      <c r="J1184" s="9">
        <f>IF(AND(G1184&gt;0.9,G1184&lt;1),"OK","CHECK")</f>
        <v/>
      </c>
    </row>
    <row r="1185">
      <c r="A1185" s="9" t="n">
        <v>49</v>
      </c>
      <c r="B1185" s="9" t="n">
        <v>3</v>
      </c>
      <c r="C1185" s="9" t="n">
        <v>46</v>
      </c>
      <c r="D1185" s="9" t="n">
        <v>1</v>
      </c>
      <c r="E1185" s="10">
        <f>COMBIN(A1185,D1185)/COMBIN(A1185-B1185,D1185)</f>
        <v/>
      </c>
      <c r="F1185" s="11">
        <f>ROUNDUP(E1185*Controls!$B$4,4)</f>
        <v/>
      </c>
      <c r="G1185" s="12">
        <f>F1185/E1185</f>
        <v/>
      </c>
      <c r="H1185" s="10">
        <f>(A1185-B1185-(D1185-1))/(A1185-(D1185-1))</f>
        <v/>
      </c>
      <c r="I1185" s="9">
        <f>A1185&amp;'x'&amp;B1185</f>
        <v/>
      </c>
      <c r="J1185" s="9">
        <f>IF(AND(G1185&gt;0.9,G1185&lt;1),"OK","CHECK")</f>
        <v/>
      </c>
    </row>
    <row r="1186">
      <c r="A1186" s="9" t="n">
        <v>49</v>
      </c>
      <c r="B1186" s="9" t="n">
        <v>3</v>
      </c>
      <c r="C1186" s="9" t="n">
        <v>46</v>
      </c>
      <c r="D1186" s="9" t="n">
        <v>2</v>
      </c>
      <c r="E1186" s="10">
        <f>COMBIN(A1186,D1186)/COMBIN(A1186-B1186,D1186)</f>
        <v/>
      </c>
      <c r="F1186" s="11">
        <f>ROUNDUP(E1186*Controls!$B$4,4)</f>
        <v/>
      </c>
      <c r="G1186" s="12">
        <f>F1186/E1186</f>
        <v/>
      </c>
      <c r="H1186" s="10">
        <f>(A1186-B1186-(D1186-1))/(A1186-(D1186-1))</f>
        <v/>
      </c>
      <c r="I1186" s="9">
        <f>A1186&amp;'x'&amp;B1186</f>
        <v/>
      </c>
      <c r="J1186" s="9">
        <f>IF(AND(G1186&gt;0.9,G1186&lt;1),"OK","CHECK")</f>
        <v/>
      </c>
    </row>
    <row r="1187">
      <c r="A1187" s="9" t="n">
        <v>49</v>
      </c>
      <c r="B1187" s="9" t="n">
        <v>3</v>
      </c>
      <c r="C1187" s="9" t="n">
        <v>46</v>
      </c>
      <c r="D1187" s="9" t="n">
        <v>3</v>
      </c>
      <c r="E1187" s="10">
        <f>COMBIN(A1187,D1187)/COMBIN(A1187-B1187,D1187)</f>
        <v/>
      </c>
      <c r="F1187" s="11">
        <f>ROUNDUP(E1187*Controls!$B$4,4)</f>
        <v/>
      </c>
      <c r="G1187" s="12">
        <f>F1187/E1187</f>
        <v/>
      </c>
      <c r="H1187" s="10">
        <f>(A1187-B1187-(D1187-1))/(A1187-(D1187-1))</f>
        <v/>
      </c>
      <c r="I1187" s="9">
        <f>A1187&amp;'x'&amp;B1187</f>
        <v/>
      </c>
      <c r="J1187" s="9">
        <f>IF(AND(G1187&gt;0.9,G1187&lt;1),"OK","CHECK")</f>
        <v/>
      </c>
    </row>
    <row r="1188">
      <c r="A1188" s="9" t="n">
        <v>49</v>
      </c>
      <c r="B1188" s="9" t="n">
        <v>3</v>
      </c>
      <c r="C1188" s="9" t="n">
        <v>46</v>
      </c>
      <c r="D1188" s="9" t="n">
        <v>4</v>
      </c>
      <c r="E1188" s="10">
        <f>COMBIN(A1188,D1188)/COMBIN(A1188-B1188,D1188)</f>
        <v/>
      </c>
      <c r="F1188" s="11">
        <f>ROUNDUP(E1188*Controls!$B$4,4)</f>
        <v/>
      </c>
      <c r="G1188" s="12">
        <f>F1188/E1188</f>
        <v/>
      </c>
      <c r="H1188" s="10">
        <f>(A1188-B1188-(D1188-1))/(A1188-(D1188-1))</f>
        <v/>
      </c>
      <c r="I1188" s="9">
        <f>A1188&amp;'x'&amp;B1188</f>
        <v/>
      </c>
      <c r="J1188" s="9">
        <f>IF(AND(G1188&gt;0.9,G1188&lt;1),"OK","CHECK")</f>
        <v/>
      </c>
    </row>
    <row r="1189">
      <c r="A1189" s="9" t="n">
        <v>49</v>
      </c>
      <c r="B1189" s="9" t="n">
        <v>3</v>
      </c>
      <c r="C1189" s="9" t="n">
        <v>46</v>
      </c>
      <c r="D1189" s="9" t="n">
        <v>5</v>
      </c>
      <c r="E1189" s="10">
        <f>COMBIN(A1189,D1189)/COMBIN(A1189-B1189,D1189)</f>
        <v/>
      </c>
      <c r="F1189" s="11">
        <f>ROUNDUP(E1189*Controls!$B$4,4)</f>
        <v/>
      </c>
      <c r="G1189" s="12">
        <f>F1189/E1189</f>
        <v/>
      </c>
      <c r="H1189" s="10">
        <f>(A1189-B1189-(D1189-1))/(A1189-(D1189-1))</f>
        <v/>
      </c>
      <c r="I1189" s="9">
        <f>A1189&amp;'x'&amp;B1189</f>
        <v/>
      </c>
      <c r="J1189" s="9">
        <f>IF(AND(G1189&gt;0.9,G1189&lt;1),"OK","CHECK")</f>
        <v/>
      </c>
    </row>
    <row r="1190">
      <c r="A1190" s="9" t="n">
        <v>49</v>
      </c>
      <c r="B1190" s="9" t="n">
        <v>3</v>
      </c>
      <c r="C1190" s="9" t="n">
        <v>46</v>
      </c>
      <c r="D1190" s="9" t="n">
        <v>6</v>
      </c>
      <c r="E1190" s="10">
        <f>COMBIN(A1190,D1190)/COMBIN(A1190-B1190,D1190)</f>
        <v/>
      </c>
      <c r="F1190" s="11">
        <f>ROUNDUP(E1190*Controls!$B$4,4)</f>
        <v/>
      </c>
      <c r="G1190" s="12">
        <f>F1190/E1190</f>
        <v/>
      </c>
      <c r="H1190" s="10">
        <f>(A1190-B1190-(D1190-1))/(A1190-(D1190-1))</f>
        <v/>
      </c>
      <c r="I1190" s="9">
        <f>A1190&amp;'x'&amp;B1190</f>
        <v/>
      </c>
      <c r="J1190" s="9">
        <f>IF(AND(G1190&gt;0.9,G1190&lt;1),"OK","CHECK")</f>
        <v/>
      </c>
    </row>
    <row r="1191">
      <c r="A1191" s="9" t="n">
        <v>49</v>
      </c>
      <c r="B1191" s="9" t="n">
        <v>3</v>
      </c>
      <c r="C1191" s="9" t="n">
        <v>46</v>
      </c>
      <c r="D1191" s="9" t="n">
        <v>7</v>
      </c>
      <c r="E1191" s="10">
        <f>COMBIN(A1191,D1191)/COMBIN(A1191-B1191,D1191)</f>
        <v/>
      </c>
      <c r="F1191" s="11">
        <f>ROUNDUP(E1191*Controls!$B$4,4)</f>
        <v/>
      </c>
      <c r="G1191" s="12">
        <f>F1191/E1191</f>
        <v/>
      </c>
      <c r="H1191" s="10">
        <f>(A1191-B1191-(D1191-1))/(A1191-(D1191-1))</f>
        <v/>
      </c>
      <c r="I1191" s="9">
        <f>A1191&amp;'x'&amp;B1191</f>
        <v/>
      </c>
      <c r="J1191" s="9">
        <f>IF(AND(G1191&gt;0.9,G1191&lt;1),"OK","CHECK")</f>
        <v/>
      </c>
    </row>
    <row r="1192">
      <c r="A1192" s="9" t="n">
        <v>49</v>
      </c>
      <c r="B1192" s="9" t="n">
        <v>3</v>
      </c>
      <c r="C1192" s="9" t="n">
        <v>46</v>
      </c>
      <c r="D1192" s="9" t="n">
        <v>8</v>
      </c>
      <c r="E1192" s="10">
        <f>COMBIN(A1192,D1192)/COMBIN(A1192-B1192,D1192)</f>
        <v/>
      </c>
      <c r="F1192" s="11">
        <f>ROUNDUP(E1192*Controls!$B$4,4)</f>
        <v/>
      </c>
      <c r="G1192" s="12">
        <f>F1192/E1192</f>
        <v/>
      </c>
      <c r="H1192" s="10">
        <f>(A1192-B1192-(D1192-1))/(A1192-(D1192-1))</f>
        <v/>
      </c>
      <c r="I1192" s="9">
        <f>A1192&amp;'x'&amp;B1192</f>
        <v/>
      </c>
      <c r="J1192" s="9">
        <f>IF(AND(G1192&gt;0.9,G1192&lt;1),"OK","CHECK")</f>
        <v/>
      </c>
    </row>
    <row r="1193">
      <c r="A1193" s="9" t="n">
        <v>49</v>
      </c>
      <c r="B1193" s="9" t="n">
        <v>3</v>
      </c>
      <c r="C1193" s="9" t="n">
        <v>46</v>
      </c>
      <c r="D1193" s="9" t="n">
        <v>9</v>
      </c>
      <c r="E1193" s="10">
        <f>COMBIN(A1193,D1193)/COMBIN(A1193-B1193,D1193)</f>
        <v/>
      </c>
      <c r="F1193" s="11">
        <f>ROUNDUP(E1193*Controls!$B$4,4)</f>
        <v/>
      </c>
      <c r="G1193" s="12">
        <f>F1193/E1193</f>
        <v/>
      </c>
      <c r="H1193" s="10">
        <f>(A1193-B1193-(D1193-1))/(A1193-(D1193-1))</f>
        <v/>
      </c>
      <c r="I1193" s="9">
        <f>A1193&amp;'x'&amp;B1193</f>
        <v/>
      </c>
      <c r="J1193" s="9">
        <f>IF(AND(G1193&gt;0.9,G1193&lt;1),"OK","CHECK")</f>
        <v/>
      </c>
    </row>
    <row r="1194">
      <c r="A1194" s="9" t="n">
        <v>49</v>
      </c>
      <c r="B1194" s="9" t="n">
        <v>3</v>
      </c>
      <c r="C1194" s="9" t="n">
        <v>46</v>
      </c>
      <c r="D1194" s="9" t="n">
        <v>10</v>
      </c>
      <c r="E1194" s="10">
        <f>COMBIN(A1194,D1194)/COMBIN(A1194-B1194,D1194)</f>
        <v/>
      </c>
      <c r="F1194" s="11">
        <f>ROUNDUP(E1194*Controls!$B$4,4)</f>
        <v/>
      </c>
      <c r="G1194" s="12">
        <f>F1194/E1194</f>
        <v/>
      </c>
      <c r="H1194" s="10">
        <f>(A1194-B1194-(D1194-1))/(A1194-(D1194-1))</f>
        <v/>
      </c>
      <c r="I1194" s="9">
        <f>A1194&amp;'x'&amp;B1194</f>
        <v/>
      </c>
      <c r="J1194" s="9">
        <f>IF(AND(G1194&gt;0.9,G1194&lt;1),"OK","CHECK")</f>
        <v/>
      </c>
    </row>
    <row r="1195">
      <c r="A1195" s="9" t="n">
        <v>49</v>
      </c>
      <c r="B1195" s="9" t="n">
        <v>3</v>
      </c>
      <c r="C1195" s="9" t="n">
        <v>46</v>
      </c>
      <c r="D1195" s="9" t="n">
        <v>11</v>
      </c>
      <c r="E1195" s="10">
        <f>COMBIN(A1195,D1195)/COMBIN(A1195-B1195,D1195)</f>
        <v/>
      </c>
      <c r="F1195" s="11">
        <f>ROUNDUP(E1195*Controls!$B$4,4)</f>
        <v/>
      </c>
      <c r="G1195" s="12">
        <f>F1195/E1195</f>
        <v/>
      </c>
      <c r="H1195" s="10">
        <f>(A1195-B1195-(D1195-1))/(A1195-(D1195-1))</f>
        <v/>
      </c>
      <c r="I1195" s="9">
        <f>A1195&amp;'x'&amp;B1195</f>
        <v/>
      </c>
      <c r="J1195" s="9">
        <f>IF(AND(G1195&gt;0.9,G1195&lt;1),"OK","CHECK")</f>
        <v/>
      </c>
    </row>
    <row r="1196">
      <c r="A1196" s="9" t="n">
        <v>49</v>
      </c>
      <c r="B1196" s="9" t="n">
        <v>3</v>
      </c>
      <c r="C1196" s="9" t="n">
        <v>46</v>
      </c>
      <c r="D1196" s="9" t="n">
        <v>12</v>
      </c>
      <c r="E1196" s="10">
        <f>COMBIN(A1196,D1196)/COMBIN(A1196-B1196,D1196)</f>
        <v/>
      </c>
      <c r="F1196" s="11">
        <f>ROUNDUP(E1196*Controls!$B$4,4)</f>
        <v/>
      </c>
      <c r="G1196" s="12">
        <f>F1196/E1196</f>
        <v/>
      </c>
      <c r="H1196" s="10">
        <f>(A1196-B1196-(D1196-1))/(A1196-(D1196-1))</f>
        <v/>
      </c>
      <c r="I1196" s="9">
        <f>A1196&amp;'x'&amp;B1196</f>
        <v/>
      </c>
      <c r="J1196" s="9">
        <f>IF(AND(G1196&gt;0.9,G1196&lt;1),"OK","CHECK")</f>
        <v/>
      </c>
    </row>
    <row r="1197">
      <c r="A1197" s="9" t="n">
        <v>49</v>
      </c>
      <c r="B1197" s="9" t="n">
        <v>3</v>
      </c>
      <c r="C1197" s="9" t="n">
        <v>46</v>
      </c>
      <c r="D1197" s="9" t="n">
        <v>13</v>
      </c>
      <c r="E1197" s="10">
        <f>COMBIN(A1197,D1197)/COMBIN(A1197-B1197,D1197)</f>
        <v/>
      </c>
      <c r="F1197" s="11">
        <f>ROUNDUP(E1197*Controls!$B$4,4)</f>
        <v/>
      </c>
      <c r="G1197" s="12">
        <f>F1197/E1197</f>
        <v/>
      </c>
      <c r="H1197" s="10">
        <f>(A1197-B1197-(D1197-1))/(A1197-(D1197-1))</f>
        <v/>
      </c>
      <c r="I1197" s="9">
        <f>A1197&amp;'x'&amp;B1197</f>
        <v/>
      </c>
      <c r="J1197" s="9">
        <f>IF(AND(G1197&gt;0.9,G1197&lt;1),"OK","CHECK")</f>
        <v/>
      </c>
    </row>
    <row r="1198">
      <c r="A1198" s="9" t="n">
        <v>49</v>
      </c>
      <c r="B1198" s="9" t="n">
        <v>3</v>
      </c>
      <c r="C1198" s="9" t="n">
        <v>46</v>
      </c>
      <c r="D1198" s="9" t="n">
        <v>14</v>
      </c>
      <c r="E1198" s="10">
        <f>COMBIN(A1198,D1198)/COMBIN(A1198-B1198,D1198)</f>
        <v/>
      </c>
      <c r="F1198" s="11">
        <f>ROUNDUP(E1198*Controls!$B$4,4)</f>
        <v/>
      </c>
      <c r="G1198" s="12">
        <f>F1198/E1198</f>
        <v/>
      </c>
      <c r="H1198" s="10">
        <f>(A1198-B1198-(D1198-1))/(A1198-(D1198-1))</f>
        <v/>
      </c>
      <c r="I1198" s="9">
        <f>A1198&amp;'x'&amp;B1198</f>
        <v/>
      </c>
      <c r="J1198" s="9">
        <f>IF(AND(G1198&gt;0.9,G1198&lt;1),"OK","CHECK")</f>
        <v/>
      </c>
    </row>
    <row r="1199">
      <c r="A1199" s="9" t="n">
        <v>49</v>
      </c>
      <c r="B1199" s="9" t="n">
        <v>3</v>
      </c>
      <c r="C1199" s="9" t="n">
        <v>46</v>
      </c>
      <c r="D1199" s="9" t="n">
        <v>15</v>
      </c>
      <c r="E1199" s="10">
        <f>COMBIN(A1199,D1199)/COMBIN(A1199-B1199,D1199)</f>
        <v/>
      </c>
      <c r="F1199" s="11">
        <f>ROUNDUP(E1199*Controls!$B$4,4)</f>
        <v/>
      </c>
      <c r="G1199" s="12">
        <f>F1199/E1199</f>
        <v/>
      </c>
      <c r="H1199" s="10">
        <f>(A1199-B1199-(D1199-1))/(A1199-(D1199-1))</f>
        <v/>
      </c>
      <c r="I1199" s="9">
        <f>A1199&amp;'x'&amp;B1199</f>
        <v/>
      </c>
      <c r="J1199" s="9">
        <f>IF(AND(G1199&gt;0.9,G1199&lt;1),"OK","CHECK")</f>
        <v/>
      </c>
    </row>
    <row r="1200">
      <c r="A1200" s="9" t="n">
        <v>49</v>
      </c>
      <c r="B1200" s="9" t="n">
        <v>3</v>
      </c>
      <c r="C1200" s="9" t="n">
        <v>46</v>
      </c>
      <c r="D1200" s="9" t="n">
        <v>16</v>
      </c>
      <c r="E1200" s="10">
        <f>COMBIN(A1200,D1200)/COMBIN(A1200-B1200,D1200)</f>
        <v/>
      </c>
      <c r="F1200" s="11">
        <f>ROUNDUP(E1200*Controls!$B$4,4)</f>
        <v/>
      </c>
      <c r="G1200" s="12">
        <f>F1200/E1200</f>
        <v/>
      </c>
      <c r="H1200" s="10">
        <f>(A1200-B1200-(D1200-1))/(A1200-(D1200-1))</f>
        <v/>
      </c>
      <c r="I1200" s="9">
        <f>A1200&amp;'x'&amp;B1200</f>
        <v/>
      </c>
      <c r="J1200" s="9">
        <f>IF(AND(G1200&gt;0.9,G1200&lt;1),"OK","CHECK")</f>
        <v/>
      </c>
    </row>
    <row r="1201">
      <c r="A1201" s="9" t="n">
        <v>49</v>
      </c>
      <c r="B1201" s="9" t="n">
        <v>3</v>
      </c>
      <c r="C1201" s="9" t="n">
        <v>46</v>
      </c>
      <c r="D1201" s="9" t="n">
        <v>17</v>
      </c>
      <c r="E1201" s="10">
        <f>COMBIN(A1201,D1201)/COMBIN(A1201-B1201,D1201)</f>
        <v/>
      </c>
      <c r="F1201" s="11">
        <f>ROUNDUP(E1201*Controls!$B$4,4)</f>
        <v/>
      </c>
      <c r="G1201" s="12">
        <f>F1201/E1201</f>
        <v/>
      </c>
      <c r="H1201" s="10">
        <f>(A1201-B1201-(D1201-1))/(A1201-(D1201-1))</f>
        <v/>
      </c>
      <c r="I1201" s="9">
        <f>A1201&amp;'x'&amp;B1201</f>
        <v/>
      </c>
      <c r="J1201" s="9">
        <f>IF(AND(G1201&gt;0.9,G1201&lt;1),"OK","CHECK")</f>
        <v/>
      </c>
    </row>
    <row r="1202">
      <c r="A1202" s="9" t="n">
        <v>49</v>
      </c>
      <c r="B1202" s="9" t="n">
        <v>3</v>
      </c>
      <c r="C1202" s="9" t="n">
        <v>46</v>
      </c>
      <c r="D1202" s="9" t="n">
        <v>18</v>
      </c>
      <c r="E1202" s="10">
        <f>COMBIN(A1202,D1202)/COMBIN(A1202-B1202,D1202)</f>
        <v/>
      </c>
      <c r="F1202" s="11">
        <f>ROUNDUP(E1202*Controls!$B$4,4)</f>
        <v/>
      </c>
      <c r="G1202" s="12">
        <f>F1202/E1202</f>
        <v/>
      </c>
      <c r="H1202" s="10">
        <f>(A1202-B1202-(D1202-1))/(A1202-(D1202-1))</f>
        <v/>
      </c>
      <c r="I1202" s="9">
        <f>A1202&amp;'x'&amp;B1202</f>
        <v/>
      </c>
      <c r="J1202" s="9">
        <f>IF(AND(G1202&gt;0.9,G1202&lt;1),"OK","CHECK")</f>
        <v/>
      </c>
    </row>
    <row r="1203">
      <c r="A1203" s="9" t="n">
        <v>49</v>
      </c>
      <c r="B1203" s="9" t="n">
        <v>3</v>
      </c>
      <c r="C1203" s="9" t="n">
        <v>46</v>
      </c>
      <c r="D1203" s="9" t="n">
        <v>19</v>
      </c>
      <c r="E1203" s="10">
        <f>COMBIN(A1203,D1203)/COMBIN(A1203-B1203,D1203)</f>
        <v/>
      </c>
      <c r="F1203" s="11">
        <f>ROUNDUP(E1203*Controls!$B$4,4)</f>
        <v/>
      </c>
      <c r="G1203" s="12">
        <f>F1203/E1203</f>
        <v/>
      </c>
      <c r="H1203" s="10">
        <f>(A1203-B1203-(D1203-1))/(A1203-(D1203-1))</f>
        <v/>
      </c>
      <c r="I1203" s="9">
        <f>A1203&amp;'x'&amp;B1203</f>
        <v/>
      </c>
      <c r="J1203" s="9">
        <f>IF(AND(G1203&gt;0.9,G1203&lt;1),"OK","CHECK")</f>
        <v/>
      </c>
    </row>
    <row r="1204">
      <c r="A1204" s="9" t="n">
        <v>49</v>
      </c>
      <c r="B1204" s="9" t="n">
        <v>3</v>
      </c>
      <c r="C1204" s="9" t="n">
        <v>46</v>
      </c>
      <c r="D1204" s="9" t="n">
        <v>20</v>
      </c>
      <c r="E1204" s="10">
        <f>COMBIN(A1204,D1204)/COMBIN(A1204-B1204,D1204)</f>
        <v/>
      </c>
      <c r="F1204" s="11">
        <f>ROUNDUP(E1204*Controls!$B$4,4)</f>
        <v/>
      </c>
      <c r="G1204" s="12">
        <f>F1204/E1204</f>
        <v/>
      </c>
      <c r="H1204" s="10">
        <f>(A1204-B1204-(D1204-1))/(A1204-(D1204-1))</f>
        <v/>
      </c>
      <c r="I1204" s="9">
        <f>A1204&amp;'x'&amp;B1204</f>
        <v/>
      </c>
      <c r="J1204" s="9">
        <f>IF(AND(G1204&gt;0.9,G1204&lt;1),"OK","CHECK")</f>
        <v/>
      </c>
    </row>
    <row r="1205">
      <c r="A1205" s="9" t="n">
        <v>49</v>
      </c>
      <c r="B1205" s="9" t="n">
        <v>3</v>
      </c>
      <c r="C1205" s="9" t="n">
        <v>46</v>
      </c>
      <c r="D1205" s="9" t="n">
        <v>21</v>
      </c>
      <c r="E1205" s="10">
        <f>COMBIN(A1205,D1205)/COMBIN(A1205-B1205,D1205)</f>
        <v/>
      </c>
      <c r="F1205" s="11">
        <f>ROUNDUP(E1205*Controls!$B$4,4)</f>
        <v/>
      </c>
      <c r="G1205" s="12">
        <f>F1205/E1205</f>
        <v/>
      </c>
      <c r="H1205" s="10">
        <f>(A1205-B1205-(D1205-1))/(A1205-(D1205-1))</f>
        <v/>
      </c>
      <c r="I1205" s="9">
        <f>A1205&amp;'x'&amp;B1205</f>
        <v/>
      </c>
      <c r="J1205" s="9">
        <f>IF(AND(G1205&gt;0.9,G1205&lt;1),"OK","CHECK")</f>
        <v/>
      </c>
    </row>
    <row r="1206">
      <c r="A1206" s="9" t="n">
        <v>49</v>
      </c>
      <c r="B1206" s="9" t="n">
        <v>3</v>
      </c>
      <c r="C1206" s="9" t="n">
        <v>46</v>
      </c>
      <c r="D1206" s="9" t="n">
        <v>22</v>
      </c>
      <c r="E1206" s="10">
        <f>COMBIN(A1206,D1206)/COMBIN(A1206-B1206,D1206)</f>
        <v/>
      </c>
      <c r="F1206" s="11">
        <f>ROUNDUP(E1206*Controls!$B$4,4)</f>
        <v/>
      </c>
      <c r="G1206" s="12">
        <f>F1206/E1206</f>
        <v/>
      </c>
      <c r="H1206" s="10">
        <f>(A1206-B1206-(D1206-1))/(A1206-(D1206-1))</f>
        <v/>
      </c>
      <c r="I1206" s="9">
        <f>A1206&amp;'x'&amp;B1206</f>
        <v/>
      </c>
      <c r="J1206" s="9">
        <f>IF(AND(G1206&gt;0.9,G1206&lt;1),"OK","CHECK")</f>
        <v/>
      </c>
    </row>
    <row r="1207">
      <c r="A1207" s="9" t="n">
        <v>49</v>
      </c>
      <c r="B1207" s="9" t="n">
        <v>3</v>
      </c>
      <c r="C1207" s="9" t="n">
        <v>46</v>
      </c>
      <c r="D1207" s="9" t="n">
        <v>23</v>
      </c>
      <c r="E1207" s="10">
        <f>COMBIN(A1207,D1207)/COMBIN(A1207-B1207,D1207)</f>
        <v/>
      </c>
      <c r="F1207" s="11">
        <f>ROUNDUP(E1207*Controls!$B$4,4)</f>
        <v/>
      </c>
      <c r="G1207" s="12">
        <f>F1207/E1207</f>
        <v/>
      </c>
      <c r="H1207" s="10">
        <f>(A1207-B1207-(D1207-1))/(A1207-(D1207-1))</f>
        <v/>
      </c>
      <c r="I1207" s="9">
        <f>A1207&amp;'x'&amp;B1207</f>
        <v/>
      </c>
      <c r="J1207" s="9">
        <f>IF(AND(G1207&gt;0.9,G1207&lt;1),"OK","CHECK")</f>
        <v/>
      </c>
    </row>
    <row r="1208">
      <c r="A1208" s="9" t="n">
        <v>49</v>
      </c>
      <c r="B1208" s="9" t="n">
        <v>3</v>
      </c>
      <c r="C1208" s="9" t="n">
        <v>46</v>
      </c>
      <c r="D1208" s="9" t="n">
        <v>24</v>
      </c>
      <c r="E1208" s="10">
        <f>COMBIN(A1208,D1208)/COMBIN(A1208-B1208,D1208)</f>
        <v/>
      </c>
      <c r="F1208" s="11">
        <f>ROUNDUP(E1208*Controls!$B$4,4)</f>
        <v/>
      </c>
      <c r="G1208" s="12">
        <f>F1208/E1208</f>
        <v/>
      </c>
      <c r="H1208" s="10">
        <f>(A1208-B1208-(D1208-1))/(A1208-(D1208-1))</f>
        <v/>
      </c>
      <c r="I1208" s="9">
        <f>A1208&amp;'x'&amp;B1208</f>
        <v/>
      </c>
      <c r="J1208" s="9">
        <f>IF(AND(G1208&gt;0.9,G1208&lt;1),"OK","CHECK")</f>
        <v/>
      </c>
    </row>
    <row r="1209">
      <c r="A1209" s="9" t="n">
        <v>49</v>
      </c>
      <c r="B1209" s="9" t="n">
        <v>3</v>
      </c>
      <c r="C1209" s="9" t="n">
        <v>46</v>
      </c>
      <c r="D1209" s="9" t="n">
        <v>25</v>
      </c>
      <c r="E1209" s="10">
        <f>COMBIN(A1209,D1209)/COMBIN(A1209-B1209,D1209)</f>
        <v/>
      </c>
      <c r="F1209" s="11">
        <f>ROUNDUP(E1209*Controls!$B$4,4)</f>
        <v/>
      </c>
      <c r="G1209" s="12">
        <f>F1209/E1209</f>
        <v/>
      </c>
      <c r="H1209" s="10">
        <f>(A1209-B1209-(D1209-1))/(A1209-(D1209-1))</f>
        <v/>
      </c>
      <c r="I1209" s="9">
        <f>A1209&amp;'x'&amp;B1209</f>
        <v/>
      </c>
      <c r="J1209" s="9">
        <f>IF(AND(G1209&gt;0.9,G1209&lt;1),"OK","CHECK")</f>
        <v/>
      </c>
    </row>
    <row r="1210">
      <c r="A1210" s="9" t="n">
        <v>49</v>
      </c>
      <c r="B1210" s="9" t="n">
        <v>3</v>
      </c>
      <c r="C1210" s="9" t="n">
        <v>46</v>
      </c>
      <c r="D1210" s="9" t="n">
        <v>26</v>
      </c>
      <c r="E1210" s="10">
        <f>COMBIN(A1210,D1210)/COMBIN(A1210-B1210,D1210)</f>
        <v/>
      </c>
      <c r="F1210" s="11">
        <f>ROUNDUP(E1210*Controls!$B$4,4)</f>
        <v/>
      </c>
      <c r="G1210" s="12">
        <f>F1210/E1210</f>
        <v/>
      </c>
      <c r="H1210" s="10">
        <f>(A1210-B1210-(D1210-1))/(A1210-(D1210-1))</f>
        <v/>
      </c>
      <c r="I1210" s="9">
        <f>A1210&amp;'x'&amp;B1210</f>
        <v/>
      </c>
      <c r="J1210" s="9">
        <f>IF(AND(G1210&gt;0.9,G1210&lt;1),"OK","CHECK")</f>
        <v/>
      </c>
    </row>
    <row r="1211">
      <c r="A1211" s="9" t="n">
        <v>49</v>
      </c>
      <c r="B1211" s="9" t="n">
        <v>3</v>
      </c>
      <c r="C1211" s="9" t="n">
        <v>46</v>
      </c>
      <c r="D1211" s="9" t="n">
        <v>27</v>
      </c>
      <c r="E1211" s="10">
        <f>COMBIN(A1211,D1211)/COMBIN(A1211-B1211,D1211)</f>
        <v/>
      </c>
      <c r="F1211" s="11">
        <f>ROUNDUP(E1211*Controls!$B$4,4)</f>
        <v/>
      </c>
      <c r="G1211" s="12">
        <f>F1211/E1211</f>
        <v/>
      </c>
      <c r="H1211" s="10">
        <f>(A1211-B1211-(D1211-1))/(A1211-(D1211-1))</f>
        <v/>
      </c>
      <c r="I1211" s="9">
        <f>A1211&amp;'x'&amp;B1211</f>
        <v/>
      </c>
      <c r="J1211" s="9">
        <f>IF(AND(G1211&gt;0.9,G1211&lt;1),"OK","CHECK")</f>
        <v/>
      </c>
    </row>
    <row r="1212">
      <c r="A1212" s="9" t="n">
        <v>49</v>
      </c>
      <c r="B1212" s="9" t="n">
        <v>3</v>
      </c>
      <c r="C1212" s="9" t="n">
        <v>46</v>
      </c>
      <c r="D1212" s="9" t="n">
        <v>28</v>
      </c>
      <c r="E1212" s="10">
        <f>COMBIN(A1212,D1212)/COMBIN(A1212-B1212,D1212)</f>
        <v/>
      </c>
      <c r="F1212" s="11">
        <f>ROUNDUP(E1212*Controls!$B$4,4)</f>
        <v/>
      </c>
      <c r="G1212" s="12">
        <f>F1212/E1212</f>
        <v/>
      </c>
      <c r="H1212" s="10">
        <f>(A1212-B1212-(D1212-1))/(A1212-(D1212-1))</f>
        <v/>
      </c>
      <c r="I1212" s="9">
        <f>A1212&amp;'x'&amp;B1212</f>
        <v/>
      </c>
      <c r="J1212" s="9">
        <f>IF(AND(G1212&gt;0.9,G1212&lt;1),"OK","CHECK")</f>
        <v/>
      </c>
    </row>
    <row r="1213">
      <c r="A1213" s="9" t="n">
        <v>49</v>
      </c>
      <c r="B1213" s="9" t="n">
        <v>3</v>
      </c>
      <c r="C1213" s="9" t="n">
        <v>46</v>
      </c>
      <c r="D1213" s="9" t="n">
        <v>29</v>
      </c>
      <c r="E1213" s="10">
        <f>COMBIN(A1213,D1213)/COMBIN(A1213-B1213,D1213)</f>
        <v/>
      </c>
      <c r="F1213" s="11">
        <f>ROUNDUP(E1213*Controls!$B$4,4)</f>
        <v/>
      </c>
      <c r="G1213" s="12">
        <f>F1213/E1213</f>
        <v/>
      </c>
      <c r="H1213" s="10">
        <f>(A1213-B1213-(D1213-1))/(A1213-(D1213-1))</f>
        <v/>
      </c>
      <c r="I1213" s="9">
        <f>A1213&amp;'x'&amp;B1213</f>
        <v/>
      </c>
      <c r="J1213" s="9">
        <f>IF(AND(G1213&gt;0.9,G1213&lt;1),"OK","CHECK")</f>
        <v/>
      </c>
    </row>
    <row r="1214">
      <c r="A1214" s="9" t="n">
        <v>49</v>
      </c>
      <c r="B1214" s="9" t="n">
        <v>3</v>
      </c>
      <c r="C1214" s="9" t="n">
        <v>46</v>
      </c>
      <c r="D1214" s="9" t="n">
        <v>30</v>
      </c>
      <c r="E1214" s="10">
        <f>COMBIN(A1214,D1214)/COMBIN(A1214-B1214,D1214)</f>
        <v/>
      </c>
      <c r="F1214" s="11">
        <f>ROUNDUP(E1214*Controls!$B$4,4)</f>
        <v/>
      </c>
      <c r="G1214" s="12">
        <f>F1214/E1214</f>
        <v/>
      </c>
      <c r="H1214" s="10">
        <f>(A1214-B1214-(D1214-1))/(A1214-(D1214-1))</f>
        <v/>
      </c>
      <c r="I1214" s="9">
        <f>A1214&amp;'x'&amp;B1214</f>
        <v/>
      </c>
      <c r="J1214" s="9">
        <f>IF(AND(G1214&gt;0.9,G1214&lt;1),"OK","CHECK")</f>
        <v/>
      </c>
    </row>
    <row r="1215">
      <c r="A1215" s="9" t="n">
        <v>49</v>
      </c>
      <c r="B1215" s="9" t="n">
        <v>3</v>
      </c>
      <c r="C1215" s="9" t="n">
        <v>46</v>
      </c>
      <c r="D1215" s="9" t="n">
        <v>31</v>
      </c>
      <c r="E1215" s="10">
        <f>COMBIN(A1215,D1215)/COMBIN(A1215-B1215,D1215)</f>
        <v/>
      </c>
      <c r="F1215" s="11">
        <f>ROUNDUP(E1215*Controls!$B$4,4)</f>
        <v/>
      </c>
      <c r="G1215" s="12">
        <f>F1215/E1215</f>
        <v/>
      </c>
      <c r="H1215" s="10">
        <f>(A1215-B1215-(D1215-1))/(A1215-(D1215-1))</f>
        <v/>
      </c>
      <c r="I1215" s="9">
        <f>A1215&amp;'x'&amp;B1215</f>
        <v/>
      </c>
      <c r="J1215" s="9">
        <f>IF(AND(G1215&gt;0.9,G1215&lt;1),"OK","CHECK")</f>
        <v/>
      </c>
    </row>
    <row r="1216">
      <c r="A1216" s="9" t="n">
        <v>49</v>
      </c>
      <c r="B1216" s="9" t="n">
        <v>3</v>
      </c>
      <c r="C1216" s="9" t="n">
        <v>46</v>
      </c>
      <c r="D1216" s="9" t="n">
        <v>32</v>
      </c>
      <c r="E1216" s="10">
        <f>COMBIN(A1216,D1216)/COMBIN(A1216-B1216,D1216)</f>
        <v/>
      </c>
      <c r="F1216" s="11">
        <f>ROUNDUP(E1216*Controls!$B$4,4)</f>
        <v/>
      </c>
      <c r="G1216" s="12">
        <f>F1216/E1216</f>
        <v/>
      </c>
      <c r="H1216" s="10">
        <f>(A1216-B1216-(D1216-1))/(A1216-(D1216-1))</f>
        <v/>
      </c>
      <c r="I1216" s="9">
        <f>A1216&amp;'x'&amp;B1216</f>
        <v/>
      </c>
      <c r="J1216" s="9">
        <f>IF(AND(G1216&gt;0.9,G1216&lt;1),"OK","CHECK")</f>
        <v/>
      </c>
    </row>
    <row r="1217">
      <c r="A1217" s="9" t="n">
        <v>49</v>
      </c>
      <c r="B1217" s="9" t="n">
        <v>3</v>
      </c>
      <c r="C1217" s="9" t="n">
        <v>46</v>
      </c>
      <c r="D1217" s="9" t="n">
        <v>33</v>
      </c>
      <c r="E1217" s="10">
        <f>COMBIN(A1217,D1217)/COMBIN(A1217-B1217,D1217)</f>
        <v/>
      </c>
      <c r="F1217" s="11">
        <f>ROUNDUP(E1217*Controls!$B$4,4)</f>
        <v/>
      </c>
      <c r="G1217" s="12">
        <f>F1217/E1217</f>
        <v/>
      </c>
      <c r="H1217" s="10">
        <f>(A1217-B1217-(D1217-1))/(A1217-(D1217-1))</f>
        <v/>
      </c>
      <c r="I1217" s="9">
        <f>A1217&amp;'x'&amp;B1217</f>
        <v/>
      </c>
      <c r="J1217" s="9">
        <f>IF(AND(G1217&gt;0.9,G1217&lt;1),"OK","CHECK")</f>
        <v/>
      </c>
    </row>
    <row r="1218">
      <c r="A1218" s="9" t="n">
        <v>49</v>
      </c>
      <c r="B1218" s="9" t="n">
        <v>3</v>
      </c>
      <c r="C1218" s="9" t="n">
        <v>46</v>
      </c>
      <c r="D1218" s="9" t="n">
        <v>34</v>
      </c>
      <c r="E1218" s="10">
        <f>COMBIN(A1218,D1218)/COMBIN(A1218-B1218,D1218)</f>
        <v/>
      </c>
      <c r="F1218" s="11">
        <f>ROUNDUP(E1218*Controls!$B$4,4)</f>
        <v/>
      </c>
      <c r="G1218" s="12">
        <f>F1218/E1218</f>
        <v/>
      </c>
      <c r="H1218" s="10">
        <f>(A1218-B1218-(D1218-1))/(A1218-(D1218-1))</f>
        <v/>
      </c>
      <c r="I1218" s="9">
        <f>A1218&amp;'x'&amp;B1218</f>
        <v/>
      </c>
      <c r="J1218" s="9">
        <f>IF(AND(G1218&gt;0.9,G1218&lt;1),"OK","CHECK")</f>
        <v/>
      </c>
    </row>
    <row r="1219">
      <c r="A1219" s="9" t="n">
        <v>49</v>
      </c>
      <c r="B1219" s="9" t="n">
        <v>3</v>
      </c>
      <c r="C1219" s="9" t="n">
        <v>46</v>
      </c>
      <c r="D1219" s="9" t="n">
        <v>35</v>
      </c>
      <c r="E1219" s="10">
        <f>COMBIN(A1219,D1219)/COMBIN(A1219-B1219,D1219)</f>
        <v/>
      </c>
      <c r="F1219" s="11">
        <f>ROUNDUP(E1219*Controls!$B$4,4)</f>
        <v/>
      </c>
      <c r="G1219" s="12">
        <f>F1219/E1219</f>
        <v/>
      </c>
      <c r="H1219" s="10">
        <f>(A1219-B1219-(D1219-1))/(A1219-(D1219-1))</f>
        <v/>
      </c>
      <c r="I1219" s="9">
        <f>A1219&amp;'x'&amp;B1219</f>
        <v/>
      </c>
      <c r="J1219" s="9">
        <f>IF(AND(G1219&gt;0.9,G1219&lt;1),"OK","CHECK")</f>
        <v/>
      </c>
    </row>
    <row r="1220">
      <c r="A1220" s="9" t="n">
        <v>49</v>
      </c>
      <c r="B1220" s="9" t="n">
        <v>3</v>
      </c>
      <c r="C1220" s="9" t="n">
        <v>46</v>
      </c>
      <c r="D1220" s="9" t="n">
        <v>36</v>
      </c>
      <c r="E1220" s="10">
        <f>COMBIN(A1220,D1220)/COMBIN(A1220-B1220,D1220)</f>
        <v/>
      </c>
      <c r="F1220" s="11">
        <f>ROUNDUP(E1220*Controls!$B$4,4)</f>
        <v/>
      </c>
      <c r="G1220" s="12">
        <f>F1220/E1220</f>
        <v/>
      </c>
      <c r="H1220" s="10">
        <f>(A1220-B1220-(D1220-1))/(A1220-(D1220-1))</f>
        <v/>
      </c>
      <c r="I1220" s="9">
        <f>A1220&amp;'x'&amp;B1220</f>
        <v/>
      </c>
      <c r="J1220" s="9">
        <f>IF(AND(G1220&gt;0.9,G1220&lt;1),"OK","CHECK")</f>
        <v/>
      </c>
    </row>
    <row r="1221">
      <c r="A1221" s="9" t="n">
        <v>49</v>
      </c>
      <c r="B1221" s="9" t="n">
        <v>3</v>
      </c>
      <c r="C1221" s="9" t="n">
        <v>46</v>
      </c>
      <c r="D1221" s="9" t="n">
        <v>37</v>
      </c>
      <c r="E1221" s="10">
        <f>COMBIN(A1221,D1221)/COMBIN(A1221-B1221,D1221)</f>
        <v/>
      </c>
      <c r="F1221" s="11">
        <f>ROUNDUP(E1221*Controls!$B$4,4)</f>
        <v/>
      </c>
      <c r="G1221" s="12">
        <f>F1221/E1221</f>
        <v/>
      </c>
      <c r="H1221" s="10">
        <f>(A1221-B1221-(D1221-1))/(A1221-(D1221-1))</f>
        <v/>
      </c>
      <c r="I1221" s="9">
        <f>A1221&amp;'x'&amp;B1221</f>
        <v/>
      </c>
      <c r="J1221" s="9">
        <f>IF(AND(G1221&gt;0.9,G1221&lt;1),"OK","CHECK")</f>
        <v/>
      </c>
    </row>
    <row r="1222">
      <c r="A1222" s="9" t="n">
        <v>49</v>
      </c>
      <c r="B1222" s="9" t="n">
        <v>3</v>
      </c>
      <c r="C1222" s="9" t="n">
        <v>46</v>
      </c>
      <c r="D1222" s="9" t="n">
        <v>38</v>
      </c>
      <c r="E1222" s="10">
        <f>COMBIN(A1222,D1222)/COMBIN(A1222-B1222,D1222)</f>
        <v/>
      </c>
      <c r="F1222" s="11">
        <f>ROUNDUP(E1222*Controls!$B$4,4)</f>
        <v/>
      </c>
      <c r="G1222" s="12">
        <f>F1222/E1222</f>
        <v/>
      </c>
      <c r="H1222" s="10">
        <f>(A1222-B1222-(D1222-1))/(A1222-(D1222-1))</f>
        <v/>
      </c>
      <c r="I1222" s="9">
        <f>A1222&amp;'x'&amp;B1222</f>
        <v/>
      </c>
      <c r="J1222" s="9">
        <f>IF(AND(G1222&gt;0.9,G1222&lt;1),"OK","CHECK")</f>
        <v/>
      </c>
    </row>
    <row r="1223">
      <c r="A1223" s="9" t="n">
        <v>49</v>
      </c>
      <c r="B1223" s="9" t="n">
        <v>3</v>
      </c>
      <c r="C1223" s="9" t="n">
        <v>46</v>
      </c>
      <c r="D1223" s="9" t="n">
        <v>39</v>
      </c>
      <c r="E1223" s="10">
        <f>COMBIN(A1223,D1223)/COMBIN(A1223-B1223,D1223)</f>
        <v/>
      </c>
      <c r="F1223" s="11">
        <f>ROUNDUP(E1223*Controls!$B$4,4)</f>
        <v/>
      </c>
      <c r="G1223" s="12">
        <f>F1223/E1223</f>
        <v/>
      </c>
      <c r="H1223" s="10">
        <f>(A1223-B1223-(D1223-1))/(A1223-(D1223-1))</f>
        <v/>
      </c>
      <c r="I1223" s="9">
        <f>A1223&amp;'x'&amp;B1223</f>
        <v/>
      </c>
      <c r="J1223" s="9">
        <f>IF(AND(G1223&gt;0.9,G1223&lt;1),"OK","CHECK")</f>
        <v/>
      </c>
    </row>
    <row r="1224">
      <c r="A1224" s="9" t="n">
        <v>49</v>
      </c>
      <c r="B1224" s="9" t="n">
        <v>3</v>
      </c>
      <c r="C1224" s="9" t="n">
        <v>46</v>
      </c>
      <c r="D1224" s="9" t="n">
        <v>40</v>
      </c>
      <c r="E1224" s="10">
        <f>COMBIN(A1224,D1224)/COMBIN(A1224-B1224,D1224)</f>
        <v/>
      </c>
      <c r="F1224" s="11">
        <f>ROUNDUP(E1224*Controls!$B$4,4)</f>
        <v/>
      </c>
      <c r="G1224" s="12">
        <f>F1224/E1224</f>
        <v/>
      </c>
      <c r="H1224" s="10">
        <f>(A1224-B1224-(D1224-1))/(A1224-(D1224-1))</f>
        <v/>
      </c>
      <c r="I1224" s="9">
        <f>A1224&amp;'x'&amp;B1224</f>
        <v/>
      </c>
      <c r="J1224" s="9">
        <f>IF(AND(G1224&gt;0.9,G1224&lt;1),"OK","CHECK")</f>
        <v/>
      </c>
    </row>
    <row r="1225">
      <c r="A1225" s="9" t="n">
        <v>49</v>
      </c>
      <c r="B1225" s="9" t="n">
        <v>3</v>
      </c>
      <c r="C1225" s="9" t="n">
        <v>46</v>
      </c>
      <c r="D1225" s="9" t="n">
        <v>41</v>
      </c>
      <c r="E1225" s="10">
        <f>COMBIN(A1225,D1225)/COMBIN(A1225-B1225,D1225)</f>
        <v/>
      </c>
      <c r="F1225" s="11">
        <f>ROUNDUP(E1225*Controls!$B$4,4)</f>
        <v/>
      </c>
      <c r="G1225" s="12">
        <f>F1225/E1225</f>
        <v/>
      </c>
      <c r="H1225" s="10">
        <f>(A1225-B1225-(D1225-1))/(A1225-(D1225-1))</f>
        <v/>
      </c>
      <c r="I1225" s="9">
        <f>A1225&amp;'x'&amp;B1225</f>
        <v/>
      </c>
      <c r="J1225" s="9">
        <f>IF(AND(G1225&gt;0.9,G1225&lt;1),"OK","CHECK")</f>
        <v/>
      </c>
    </row>
    <row r="1226">
      <c r="A1226" s="9" t="n">
        <v>49</v>
      </c>
      <c r="B1226" s="9" t="n">
        <v>3</v>
      </c>
      <c r="C1226" s="9" t="n">
        <v>46</v>
      </c>
      <c r="D1226" s="9" t="n">
        <v>42</v>
      </c>
      <c r="E1226" s="10">
        <f>COMBIN(A1226,D1226)/COMBIN(A1226-B1226,D1226)</f>
        <v/>
      </c>
      <c r="F1226" s="11">
        <f>ROUNDUP(E1226*Controls!$B$4,4)</f>
        <v/>
      </c>
      <c r="G1226" s="12">
        <f>F1226/E1226</f>
        <v/>
      </c>
      <c r="H1226" s="10">
        <f>(A1226-B1226-(D1226-1))/(A1226-(D1226-1))</f>
        <v/>
      </c>
      <c r="I1226" s="9">
        <f>A1226&amp;'x'&amp;B1226</f>
        <v/>
      </c>
      <c r="J1226" s="9">
        <f>IF(AND(G1226&gt;0.9,G1226&lt;1),"OK","CHECK")</f>
        <v/>
      </c>
    </row>
    <row r="1227">
      <c r="A1227" s="9" t="n">
        <v>49</v>
      </c>
      <c r="B1227" s="9" t="n">
        <v>3</v>
      </c>
      <c r="C1227" s="9" t="n">
        <v>46</v>
      </c>
      <c r="D1227" s="9" t="n">
        <v>43</v>
      </c>
      <c r="E1227" s="10">
        <f>COMBIN(A1227,D1227)/COMBIN(A1227-B1227,D1227)</f>
        <v/>
      </c>
      <c r="F1227" s="11">
        <f>ROUNDUP(E1227*Controls!$B$4,4)</f>
        <v/>
      </c>
      <c r="G1227" s="12">
        <f>F1227/E1227</f>
        <v/>
      </c>
      <c r="H1227" s="10">
        <f>(A1227-B1227-(D1227-1))/(A1227-(D1227-1))</f>
        <v/>
      </c>
      <c r="I1227" s="9">
        <f>A1227&amp;'x'&amp;B1227</f>
        <v/>
      </c>
      <c r="J1227" s="9">
        <f>IF(AND(G1227&gt;0.9,G1227&lt;1),"OK","CHECK")</f>
        <v/>
      </c>
    </row>
    <row r="1228">
      <c r="A1228" s="9" t="n">
        <v>49</v>
      </c>
      <c r="B1228" s="9" t="n">
        <v>3</v>
      </c>
      <c r="C1228" s="9" t="n">
        <v>46</v>
      </c>
      <c r="D1228" s="9" t="n">
        <v>44</v>
      </c>
      <c r="E1228" s="10">
        <f>COMBIN(A1228,D1228)/COMBIN(A1228-B1228,D1228)</f>
        <v/>
      </c>
      <c r="F1228" s="11">
        <f>ROUNDUP(E1228*Controls!$B$4,4)</f>
        <v/>
      </c>
      <c r="G1228" s="12">
        <f>F1228/E1228</f>
        <v/>
      </c>
      <c r="H1228" s="10">
        <f>(A1228-B1228-(D1228-1))/(A1228-(D1228-1))</f>
        <v/>
      </c>
      <c r="I1228" s="9">
        <f>A1228&amp;'x'&amp;B1228</f>
        <v/>
      </c>
      <c r="J1228" s="9">
        <f>IF(AND(G1228&gt;0.9,G1228&lt;1),"OK","CHECK")</f>
        <v/>
      </c>
    </row>
    <row r="1229">
      <c r="A1229" s="9" t="n">
        <v>49</v>
      </c>
      <c r="B1229" s="9" t="n">
        <v>3</v>
      </c>
      <c r="C1229" s="9" t="n">
        <v>46</v>
      </c>
      <c r="D1229" s="9" t="n">
        <v>45</v>
      </c>
      <c r="E1229" s="10">
        <f>COMBIN(A1229,D1229)/COMBIN(A1229-B1229,D1229)</f>
        <v/>
      </c>
      <c r="F1229" s="11">
        <f>ROUNDUP(E1229*Controls!$B$4,4)</f>
        <v/>
      </c>
      <c r="G1229" s="12">
        <f>F1229/E1229</f>
        <v/>
      </c>
      <c r="H1229" s="10">
        <f>(A1229-B1229-(D1229-1))/(A1229-(D1229-1))</f>
        <v/>
      </c>
      <c r="I1229" s="9">
        <f>A1229&amp;'x'&amp;B1229</f>
        <v/>
      </c>
      <c r="J1229" s="9">
        <f>IF(AND(G1229&gt;0.9,G1229&lt;1),"OK","CHECK")</f>
        <v/>
      </c>
    </row>
    <row r="1230">
      <c r="A1230" s="9" t="n">
        <v>49</v>
      </c>
      <c r="B1230" s="9" t="n">
        <v>3</v>
      </c>
      <c r="C1230" s="9" t="n">
        <v>46</v>
      </c>
      <c r="D1230" s="9" t="n">
        <v>46</v>
      </c>
      <c r="E1230" s="10">
        <f>COMBIN(A1230,D1230)/COMBIN(A1230-B1230,D1230)</f>
        <v/>
      </c>
      <c r="F1230" s="11">
        <f>ROUNDUP(E1230*Controls!$B$4,4)</f>
        <v/>
      </c>
      <c r="G1230" s="12">
        <f>F1230/E1230</f>
        <v/>
      </c>
      <c r="H1230" s="10">
        <f>(A1230-B1230-(D1230-1))/(A1230-(D1230-1))</f>
        <v/>
      </c>
      <c r="I1230" s="9">
        <f>A1230&amp;'x'&amp;B1230</f>
        <v/>
      </c>
      <c r="J1230" s="9">
        <f>IF(AND(G1230&gt;0.9,G1230&lt;1),"OK","CHECK")</f>
        <v/>
      </c>
    </row>
    <row r="1231">
      <c r="A1231" s="9" t="n">
        <v>49</v>
      </c>
      <c r="B1231" s="9" t="n">
        <v>4</v>
      </c>
      <c r="C1231" s="9" t="n">
        <v>45</v>
      </c>
      <c r="D1231" s="9" t="n">
        <v>1</v>
      </c>
      <c r="E1231" s="10">
        <f>COMBIN(A1231,D1231)/COMBIN(A1231-B1231,D1231)</f>
        <v/>
      </c>
      <c r="F1231" s="11">
        <f>ROUNDUP(E1231*Controls!$B$4,4)</f>
        <v/>
      </c>
      <c r="G1231" s="12">
        <f>F1231/E1231</f>
        <v/>
      </c>
      <c r="H1231" s="10">
        <f>(A1231-B1231-(D1231-1))/(A1231-(D1231-1))</f>
        <v/>
      </c>
      <c r="I1231" s="9">
        <f>A1231&amp;'x'&amp;B1231</f>
        <v/>
      </c>
      <c r="J1231" s="9">
        <f>IF(AND(G1231&gt;0.9,G1231&lt;1),"OK","CHECK")</f>
        <v/>
      </c>
    </row>
    <row r="1232">
      <c r="A1232" s="9" t="n">
        <v>49</v>
      </c>
      <c r="B1232" s="9" t="n">
        <v>4</v>
      </c>
      <c r="C1232" s="9" t="n">
        <v>45</v>
      </c>
      <c r="D1232" s="9" t="n">
        <v>2</v>
      </c>
      <c r="E1232" s="10">
        <f>COMBIN(A1232,D1232)/COMBIN(A1232-B1232,D1232)</f>
        <v/>
      </c>
      <c r="F1232" s="11">
        <f>ROUNDUP(E1232*Controls!$B$4,4)</f>
        <v/>
      </c>
      <c r="G1232" s="12">
        <f>F1232/E1232</f>
        <v/>
      </c>
      <c r="H1232" s="10">
        <f>(A1232-B1232-(D1232-1))/(A1232-(D1232-1))</f>
        <v/>
      </c>
      <c r="I1232" s="9">
        <f>A1232&amp;'x'&amp;B1232</f>
        <v/>
      </c>
      <c r="J1232" s="9">
        <f>IF(AND(G1232&gt;0.9,G1232&lt;1),"OK","CHECK")</f>
        <v/>
      </c>
    </row>
    <row r="1233">
      <c r="A1233" s="9" t="n">
        <v>49</v>
      </c>
      <c r="B1233" s="9" t="n">
        <v>4</v>
      </c>
      <c r="C1233" s="9" t="n">
        <v>45</v>
      </c>
      <c r="D1233" s="9" t="n">
        <v>3</v>
      </c>
      <c r="E1233" s="10">
        <f>COMBIN(A1233,D1233)/COMBIN(A1233-B1233,D1233)</f>
        <v/>
      </c>
      <c r="F1233" s="11">
        <f>ROUNDUP(E1233*Controls!$B$4,4)</f>
        <v/>
      </c>
      <c r="G1233" s="12">
        <f>F1233/E1233</f>
        <v/>
      </c>
      <c r="H1233" s="10">
        <f>(A1233-B1233-(D1233-1))/(A1233-(D1233-1))</f>
        <v/>
      </c>
      <c r="I1233" s="9">
        <f>A1233&amp;'x'&amp;B1233</f>
        <v/>
      </c>
      <c r="J1233" s="9">
        <f>IF(AND(G1233&gt;0.9,G1233&lt;1),"OK","CHECK")</f>
        <v/>
      </c>
    </row>
    <row r="1234">
      <c r="A1234" s="9" t="n">
        <v>49</v>
      </c>
      <c r="B1234" s="9" t="n">
        <v>4</v>
      </c>
      <c r="C1234" s="9" t="n">
        <v>45</v>
      </c>
      <c r="D1234" s="9" t="n">
        <v>4</v>
      </c>
      <c r="E1234" s="10">
        <f>COMBIN(A1234,D1234)/COMBIN(A1234-B1234,D1234)</f>
        <v/>
      </c>
      <c r="F1234" s="11">
        <f>ROUNDUP(E1234*Controls!$B$4,4)</f>
        <v/>
      </c>
      <c r="G1234" s="12">
        <f>F1234/E1234</f>
        <v/>
      </c>
      <c r="H1234" s="10">
        <f>(A1234-B1234-(D1234-1))/(A1234-(D1234-1))</f>
        <v/>
      </c>
      <c r="I1234" s="9">
        <f>A1234&amp;'x'&amp;B1234</f>
        <v/>
      </c>
      <c r="J1234" s="9">
        <f>IF(AND(G1234&gt;0.9,G1234&lt;1),"OK","CHECK")</f>
        <v/>
      </c>
    </row>
    <row r="1235">
      <c r="A1235" s="9" t="n">
        <v>49</v>
      </c>
      <c r="B1235" s="9" t="n">
        <v>4</v>
      </c>
      <c r="C1235" s="9" t="n">
        <v>45</v>
      </c>
      <c r="D1235" s="9" t="n">
        <v>5</v>
      </c>
      <c r="E1235" s="10">
        <f>COMBIN(A1235,D1235)/COMBIN(A1235-B1235,D1235)</f>
        <v/>
      </c>
      <c r="F1235" s="11">
        <f>ROUNDUP(E1235*Controls!$B$4,4)</f>
        <v/>
      </c>
      <c r="G1235" s="12">
        <f>F1235/E1235</f>
        <v/>
      </c>
      <c r="H1235" s="10">
        <f>(A1235-B1235-(D1235-1))/(A1235-(D1235-1))</f>
        <v/>
      </c>
      <c r="I1235" s="9">
        <f>A1235&amp;'x'&amp;B1235</f>
        <v/>
      </c>
      <c r="J1235" s="9">
        <f>IF(AND(G1235&gt;0.9,G1235&lt;1),"OK","CHECK")</f>
        <v/>
      </c>
    </row>
    <row r="1236">
      <c r="A1236" s="9" t="n">
        <v>49</v>
      </c>
      <c r="B1236" s="9" t="n">
        <v>4</v>
      </c>
      <c r="C1236" s="9" t="n">
        <v>45</v>
      </c>
      <c r="D1236" s="9" t="n">
        <v>6</v>
      </c>
      <c r="E1236" s="10">
        <f>COMBIN(A1236,D1236)/COMBIN(A1236-B1236,D1236)</f>
        <v/>
      </c>
      <c r="F1236" s="11">
        <f>ROUNDUP(E1236*Controls!$B$4,4)</f>
        <v/>
      </c>
      <c r="G1236" s="12">
        <f>F1236/E1236</f>
        <v/>
      </c>
      <c r="H1236" s="10">
        <f>(A1236-B1236-(D1236-1))/(A1236-(D1236-1))</f>
        <v/>
      </c>
      <c r="I1236" s="9">
        <f>A1236&amp;'x'&amp;B1236</f>
        <v/>
      </c>
      <c r="J1236" s="9">
        <f>IF(AND(G1236&gt;0.9,G1236&lt;1),"OK","CHECK")</f>
        <v/>
      </c>
    </row>
    <row r="1237">
      <c r="A1237" s="9" t="n">
        <v>49</v>
      </c>
      <c r="B1237" s="9" t="n">
        <v>4</v>
      </c>
      <c r="C1237" s="9" t="n">
        <v>45</v>
      </c>
      <c r="D1237" s="9" t="n">
        <v>7</v>
      </c>
      <c r="E1237" s="10">
        <f>COMBIN(A1237,D1237)/COMBIN(A1237-B1237,D1237)</f>
        <v/>
      </c>
      <c r="F1237" s="11">
        <f>ROUNDUP(E1237*Controls!$B$4,4)</f>
        <v/>
      </c>
      <c r="G1237" s="12">
        <f>F1237/E1237</f>
        <v/>
      </c>
      <c r="H1237" s="10">
        <f>(A1237-B1237-(D1237-1))/(A1237-(D1237-1))</f>
        <v/>
      </c>
      <c r="I1237" s="9">
        <f>A1237&amp;'x'&amp;B1237</f>
        <v/>
      </c>
      <c r="J1237" s="9">
        <f>IF(AND(G1237&gt;0.9,G1237&lt;1),"OK","CHECK")</f>
        <v/>
      </c>
    </row>
    <row r="1238">
      <c r="A1238" s="9" t="n">
        <v>49</v>
      </c>
      <c r="B1238" s="9" t="n">
        <v>4</v>
      </c>
      <c r="C1238" s="9" t="n">
        <v>45</v>
      </c>
      <c r="D1238" s="9" t="n">
        <v>8</v>
      </c>
      <c r="E1238" s="10">
        <f>COMBIN(A1238,D1238)/COMBIN(A1238-B1238,D1238)</f>
        <v/>
      </c>
      <c r="F1238" s="11">
        <f>ROUNDUP(E1238*Controls!$B$4,4)</f>
        <v/>
      </c>
      <c r="G1238" s="12">
        <f>F1238/E1238</f>
        <v/>
      </c>
      <c r="H1238" s="10">
        <f>(A1238-B1238-(D1238-1))/(A1238-(D1238-1))</f>
        <v/>
      </c>
      <c r="I1238" s="9">
        <f>A1238&amp;'x'&amp;B1238</f>
        <v/>
      </c>
      <c r="J1238" s="9">
        <f>IF(AND(G1238&gt;0.9,G1238&lt;1),"OK","CHECK")</f>
        <v/>
      </c>
    </row>
    <row r="1239">
      <c r="A1239" s="9" t="n">
        <v>49</v>
      </c>
      <c r="B1239" s="9" t="n">
        <v>4</v>
      </c>
      <c r="C1239" s="9" t="n">
        <v>45</v>
      </c>
      <c r="D1239" s="9" t="n">
        <v>9</v>
      </c>
      <c r="E1239" s="10">
        <f>COMBIN(A1239,D1239)/COMBIN(A1239-B1239,D1239)</f>
        <v/>
      </c>
      <c r="F1239" s="11">
        <f>ROUNDUP(E1239*Controls!$B$4,4)</f>
        <v/>
      </c>
      <c r="G1239" s="12">
        <f>F1239/E1239</f>
        <v/>
      </c>
      <c r="H1239" s="10">
        <f>(A1239-B1239-(D1239-1))/(A1239-(D1239-1))</f>
        <v/>
      </c>
      <c r="I1239" s="9">
        <f>A1239&amp;'x'&amp;B1239</f>
        <v/>
      </c>
      <c r="J1239" s="9">
        <f>IF(AND(G1239&gt;0.9,G1239&lt;1),"OK","CHECK")</f>
        <v/>
      </c>
    </row>
    <row r="1240">
      <c r="A1240" s="9" t="n">
        <v>49</v>
      </c>
      <c r="B1240" s="9" t="n">
        <v>4</v>
      </c>
      <c r="C1240" s="9" t="n">
        <v>45</v>
      </c>
      <c r="D1240" s="9" t="n">
        <v>10</v>
      </c>
      <c r="E1240" s="10">
        <f>COMBIN(A1240,D1240)/COMBIN(A1240-B1240,D1240)</f>
        <v/>
      </c>
      <c r="F1240" s="11">
        <f>ROUNDUP(E1240*Controls!$B$4,4)</f>
        <v/>
      </c>
      <c r="G1240" s="12">
        <f>F1240/E1240</f>
        <v/>
      </c>
      <c r="H1240" s="10">
        <f>(A1240-B1240-(D1240-1))/(A1240-(D1240-1))</f>
        <v/>
      </c>
      <c r="I1240" s="9">
        <f>A1240&amp;'x'&amp;B1240</f>
        <v/>
      </c>
      <c r="J1240" s="9">
        <f>IF(AND(G1240&gt;0.9,G1240&lt;1),"OK","CHECK")</f>
        <v/>
      </c>
    </row>
    <row r="1241">
      <c r="A1241" s="9" t="n">
        <v>49</v>
      </c>
      <c r="B1241" s="9" t="n">
        <v>4</v>
      </c>
      <c r="C1241" s="9" t="n">
        <v>45</v>
      </c>
      <c r="D1241" s="9" t="n">
        <v>11</v>
      </c>
      <c r="E1241" s="10">
        <f>COMBIN(A1241,D1241)/COMBIN(A1241-B1241,D1241)</f>
        <v/>
      </c>
      <c r="F1241" s="11">
        <f>ROUNDUP(E1241*Controls!$B$4,4)</f>
        <v/>
      </c>
      <c r="G1241" s="12">
        <f>F1241/E1241</f>
        <v/>
      </c>
      <c r="H1241" s="10">
        <f>(A1241-B1241-(D1241-1))/(A1241-(D1241-1))</f>
        <v/>
      </c>
      <c r="I1241" s="9">
        <f>A1241&amp;'x'&amp;B1241</f>
        <v/>
      </c>
      <c r="J1241" s="9">
        <f>IF(AND(G1241&gt;0.9,G1241&lt;1),"OK","CHECK")</f>
        <v/>
      </c>
    </row>
    <row r="1242">
      <c r="A1242" s="9" t="n">
        <v>49</v>
      </c>
      <c r="B1242" s="9" t="n">
        <v>4</v>
      </c>
      <c r="C1242" s="9" t="n">
        <v>45</v>
      </c>
      <c r="D1242" s="9" t="n">
        <v>12</v>
      </c>
      <c r="E1242" s="10">
        <f>COMBIN(A1242,D1242)/COMBIN(A1242-B1242,D1242)</f>
        <v/>
      </c>
      <c r="F1242" s="11">
        <f>ROUNDUP(E1242*Controls!$B$4,4)</f>
        <v/>
      </c>
      <c r="G1242" s="12">
        <f>F1242/E1242</f>
        <v/>
      </c>
      <c r="H1242" s="10">
        <f>(A1242-B1242-(D1242-1))/(A1242-(D1242-1))</f>
        <v/>
      </c>
      <c r="I1242" s="9">
        <f>A1242&amp;'x'&amp;B1242</f>
        <v/>
      </c>
      <c r="J1242" s="9">
        <f>IF(AND(G1242&gt;0.9,G1242&lt;1),"OK","CHECK")</f>
        <v/>
      </c>
    </row>
    <row r="1243">
      <c r="A1243" s="9" t="n">
        <v>49</v>
      </c>
      <c r="B1243" s="9" t="n">
        <v>4</v>
      </c>
      <c r="C1243" s="9" t="n">
        <v>45</v>
      </c>
      <c r="D1243" s="9" t="n">
        <v>13</v>
      </c>
      <c r="E1243" s="10">
        <f>COMBIN(A1243,D1243)/COMBIN(A1243-B1243,D1243)</f>
        <v/>
      </c>
      <c r="F1243" s="11">
        <f>ROUNDUP(E1243*Controls!$B$4,4)</f>
        <v/>
      </c>
      <c r="G1243" s="12">
        <f>F1243/E1243</f>
        <v/>
      </c>
      <c r="H1243" s="10">
        <f>(A1243-B1243-(D1243-1))/(A1243-(D1243-1))</f>
        <v/>
      </c>
      <c r="I1243" s="9">
        <f>A1243&amp;'x'&amp;B1243</f>
        <v/>
      </c>
      <c r="J1243" s="9">
        <f>IF(AND(G1243&gt;0.9,G1243&lt;1),"OK","CHECK")</f>
        <v/>
      </c>
    </row>
    <row r="1244">
      <c r="A1244" s="9" t="n">
        <v>49</v>
      </c>
      <c r="B1244" s="9" t="n">
        <v>4</v>
      </c>
      <c r="C1244" s="9" t="n">
        <v>45</v>
      </c>
      <c r="D1244" s="9" t="n">
        <v>14</v>
      </c>
      <c r="E1244" s="10">
        <f>COMBIN(A1244,D1244)/COMBIN(A1244-B1244,D1244)</f>
        <v/>
      </c>
      <c r="F1244" s="11">
        <f>ROUNDUP(E1244*Controls!$B$4,4)</f>
        <v/>
      </c>
      <c r="G1244" s="12">
        <f>F1244/E1244</f>
        <v/>
      </c>
      <c r="H1244" s="10">
        <f>(A1244-B1244-(D1244-1))/(A1244-(D1244-1))</f>
        <v/>
      </c>
      <c r="I1244" s="9">
        <f>A1244&amp;'x'&amp;B1244</f>
        <v/>
      </c>
      <c r="J1244" s="9">
        <f>IF(AND(G1244&gt;0.9,G1244&lt;1),"OK","CHECK")</f>
        <v/>
      </c>
    </row>
    <row r="1245">
      <c r="A1245" s="9" t="n">
        <v>49</v>
      </c>
      <c r="B1245" s="9" t="n">
        <v>4</v>
      </c>
      <c r="C1245" s="9" t="n">
        <v>45</v>
      </c>
      <c r="D1245" s="9" t="n">
        <v>15</v>
      </c>
      <c r="E1245" s="10">
        <f>COMBIN(A1245,D1245)/COMBIN(A1245-B1245,D1245)</f>
        <v/>
      </c>
      <c r="F1245" s="11">
        <f>ROUNDUP(E1245*Controls!$B$4,4)</f>
        <v/>
      </c>
      <c r="G1245" s="12">
        <f>F1245/E1245</f>
        <v/>
      </c>
      <c r="H1245" s="10">
        <f>(A1245-B1245-(D1245-1))/(A1245-(D1245-1))</f>
        <v/>
      </c>
      <c r="I1245" s="9">
        <f>A1245&amp;'x'&amp;B1245</f>
        <v/>
      </c>
      <c r="J1245" s="9">
        <f>IF(AND(G1245&gt;0.9,G1245&lt;1),"OK","CHECK")</f>
        <v/>
      </c>
    </row>
    <row r="1246">
      <c r="A1246" s="9" t="n">
        <v>49</v>
      </c>
      <c r="B1246" s="9" t="n">
        <v>4</v>
      </c>
      <c r="C1246" s="9" t="n">
        <v>45</v>
      </c>
      <c r="D1246" s="9" t="n">
        <v>16</v>
      </c>
      <c r="E1246" s="10">
        <f>COMBIN(A1246,D1246)/COMBIN(A1246-B1246,D1246)</f>
        <v/>
      </c>
      <c r="F1246" s="11">
        <f>ROUNDUP(E1246*Controls!$B$4,4)</f>
        <v/>
      </c>
      <c r="G1246" s="12">
        <f>F1246/E1246</f>
        <v/>
      </c>
      <c r="H1246" s="10">
        <f>(A1246-B1246-(D1246-1))/(A1246-(D1246-1))</f>
        <v/>
      </c>
      <c r="I1246" s="9">
        <f>A1246&amp;'x'&amp;B1246</f>
        <v/>
      </c>
      <c r="J1246" s="9">
        <f>IF(AND(G1246&gt;0.9,G1246&lt;1),"OK","CHECK")</f>
        <v/>
      </c>
    </row>
    <row r="1247">
      <c r="A1247" s="9" t="n">
        <v>49</v>
      </c>
      <c r="B1247" s="9" t="n">
        <v>4</v>
      </c>
      <c r="C1247" s="9" t="n">
        <v>45</v>
      </c>
      <c r="D1247" s="9" t="n">
        <v>17</v>
      </c>
      <c r="E1247" s="10">
        <f>COMBIN(A1247,D1247)/COMBIN(A1247-B1247,D1247)</f>
        <v/>
      </c>
      <c r="F1247" s="11">
        <f>ROUNDUP(E1247*Controls!$B$4,4)</f>
        <v/>
      </c>
      <c r="G1247" s="12">
        <f>F1247/E1247</f>
        <v/>
      </c>
      <c r="H1247" s="10">
        <f>(A1247-B1247-(D1247-1))/(A1247-(D1247-1))</f>
        <v/>
      </c>
      <c r="I1247" s="9">
        <f>A1247&amp;'x'&amp;B1247</f>
        <v/>
      </c>
      <c r="J1247" s="9">
        <f>IF(AND(G1247&gt;0.9,G1247&lt;1),"OK","CHECK")</f>
        <v/>
      </c>
    </row>
    <row r="1248">
      <c r="A1248" s="9" t="n">
        <v>49</v>
      </c>
      <c r="B1248" s="9" t="n">
        <v>4</v>
      </c>
      <c r="C1248" s="9" t="n">
        <v>45</v>
      </c>
      <c r="D1248" s="9" t="n">
        <v>18</v>
      </c>
      <c r="E1248" s="10">
        <f>COMBIN(A1248,D1248)/COMBIN(A1248-B1248,D1248)</f>
        <v/>
      </c>
      <c r="F1248" s="11">
        <f>ROUNDUP(E1248*Controls!$B$4,4)</f>
        <v/>
      </c>
      <c r="G1248" s="12">
        <f>F1248/E1248</f>
        <v/>
      </c>
      <c r="H1248" s="10">
        <f>(A1248-B1248-(D1248-1))/(A1248-(D1248-1))</f>
        <v/>
      </c>
      <c r="I1248" s="9">
        <f>A1248&amp;'x'&amp;B1248</f>
        <v/>
      </c>
      <c r="J1248" s="9">
        <f>IF(AND(G1248&gt;0.9,G1248&lt;1),"OK","CHECK")</f>
        <v/>
      </c>
    </row>
    <row r="1249">
      <c r="A1249" s="9" t="n">
        <v>49</v>
      </c>
      <c r="B1249" s="9" t="n">
        <v>4</v>
      </c>
      <c r="C1249" s="9" t="n">
        <v>45</v>
      </c>
      <c r="D1249" s="9" t="n">
        <v>19</v>
      </c>
      <c r="E1249" s="10">
        <f>COMBIN(A1249,D1249)/COMBIN(A1249-B1249,D1249)</f>
        <v/>
      </c>
      <c r="F1249" s="11">
        <f>ROUNDUP(E1249*Controls!$B$4,4)</f>
        <v/>
      </c>
      <c r="G1249" s="12">
        <f>F1249/E1249</f>
        <v/>
      </c>
      <c r="H1249" s="10">
        <f>(A1249-B1249-(D1249-1))/(A1249-(D1249-1))</f>
        <v/>
      </c>
      <c r="I1249" s="9">
        <f>A1249&amp;'x'&amp;B1249</f>
        <v/>
      </c>
      <c r="J1249" s="9">
        <f>IF(AND(G1249&gt;0.9,G1249&lt;1),"OK","CHECK")</f>
        <v/>
      </c>
    </row>
    <row r="1250">
      <c r="A1250" s="9" t="n">
        <v>49</v>
      </c>
      <c r="B1250" s="9" t="n">
        <v>4</v>
      </c>
      <c r="C1250" s="9" t="n">
        <v>45</v>
      </c>
      <c r="D1250" s="9" t="n">
        <v>20</v>
      </c>
      <c r="E1250" s="10">
        <f>COMBIN(A1250,D1250)/COMBIN(A1250-B1250,D1250)</f>
        <v/>
      </c>
      <c r="F1250" s="11">
        <f>ROUNDUP(E1250*Controls!$B$4,4)</f>
        <v/>
      </c>
      <c r="G1250" s="12">
        <f>F1250/E1250</f>
        <v/>
      </c>
      <c r="H1250" s="10">
        <f>(A1250-B1250-(D1250-1))/(A1250-(D1250-1))</f>
        <v/>
      </c>
      <c r="I1250" s="9">
        <f>A1250&amp;'x'&amp;B1250</f>
        <v/>
      </c>
      <c r="J1250" s="9">
        <f>IF(AND(G1250&gt;0.9,G1250&lt;1),"OK","CHECK")</f>
        <v/>
      </c>
    </row>
    <row r="1251">
      <c r="A1251" s="9" t="n">
        <v>49</v>
      </c>
      <c r="B1251" s="9" t="n">
        <v>4</v>
      </c>
      <c r="C1251" s="9" t="n">
        <v>45</v>
      </c>
      <c r="D1251" s="9" t="n">
        <v>21</v>
      </c>
      <c r="E1251" s="10">
        <f>COMBIN(A1251,D1251)/COMBIN(A1251-B1251,D1251)</f>
        <v/>
      </c>
      <c r="F1251" s="11">
        <f>ROUNDUP(E1251*Controls!$B$4,4)</f>
        <v/>
      </c>
      <c r="G1251" s="12">
        <f>F1251/E1251</f>
        <v/>
      </c>
      <c r="H1251" s="10">
        <f>(A1251-B1251-(D1251-1))/(A1251-(D1251-1))</f>
        <v/>
      </c>
      <c r="I1251" s="9">
        <f>A1251&amp;'x'&amp;B1251</f>
        <v/>
      </c>
      <c r="J1251" s="9">
        <f>IF(AND(G1251&gt;0.9,G1251&lt;1),"OK","CHECK")</f>
        <v/>
      </c>
    </row>
    <row r="1252">
      <c r="A1252" s="9" t="n">
        <v>49</v>
      </c>
      <c r="B1252" s="9" t="n">
        <v>4</v>
      </c>
      <c r="C1252" s="9" t="n">
        <v>45</v>
      </c>
      <c r="D1252" s="9" t="n">
        <v>22</v>
      </c>
      <c r="E1252" s="10">
        <f>COMBIN(A1252,D1252)/COMBIN(A1252-B1252,D1252)</f>
        <v/>
      </c>
      <c r="F1252" s="11">
        <f>ROUNDUP(E1252*Controls!$B$4,4)</f>
        <v/>
      </c>
      <c r="G1252" s="12">
        <f>F1252/E1252</f>
        <v/>
      </c>
      <c r="H1252" s="10">
        <f>(A1252-B1252-(D1252-1))/(A1252-(D1252-1))</f>
        <v/>
      </c>
      <c r="I1252" s="9">
        <f>A1252&amp;'x'&amp;B1252</f>
        <v/>
      </c>
      <c r="J1252" s="9">
        <f>IF(AND(G1252&gt;0.9,G1252&lt;1),"OK","CHECK")</f>
        <v/>
      </c>
    </row>
    <row r="1253">
      <c r="A1253" s="9" t="n">
        <v>49</v>
      </c>
      <c r="B1253" s="9" t="n">
        <v>4</v>
      </c>
      <c r="C1253" s="9" t="n">
        <v>45</v>
      </c>
      <c r="D1253" s="9" t="n">
        <v>23</v>
      </c>
      <c r="E1253" s="10">
        <f>COMBIN(A1253,D1253)/COMBIN(A1253-B1253,D1253)</f>
        <v/>
      </c>
      <c r="F1253" s="11">
        <f>ROUNDUP(E1253*Controls!$B$4,4)</f>
        <v/>
      </c>
      <c r="G1253" s="12">
        <f>F1253/E1253</f>
        <v/>
      </c>
      <c r="H1253" s="10">
        <f>(A1253-B1253-(D1253-1))/(A1253-(D1253-1))</f>
        <v/>
      </c>
      <c r="I1253" s="9">
        <f>A1253&amp;'x'&amp;B1253</f>
        <v/>
      </c>
      <c r="J1253" s="9">
        <f>IF(AND(G1253&gt;0.9,G1253&lt;1),"OK","CHECK")</f>
        <v/>
      </c>
    </row>
    <row r="1254">
      <c r="A1254" s="9" t="n">
        <v>49</v>
      </c>
      <c r="B1254" s="9" t="n">
        <v>4</v>
      </c>
      <c r="C1254" s="9" t="n">
        <v>45</v>
      </c>
      <c r="D1254" s="9" t="n">
        <v>24</v>
      </c>
      <c r="E1254" s="10">
        <f>COMBIN(A1254,D1254)/COMBIN(A1254-B1254,D1254)</f>
        <v/>
      </c>
      <c r="F1254" s="11">
        <f>ROUNDUP(E1254*Controls!$B$4,4)</f>
        <v/>
      </c>
      <c r="G1254" s="12">
        <f>F1254/E1254</f>
        <v/>
      </c>
      <c r="H1254" s="10">
        <f>(A1254-B1254-(D1254-1))/(A1254-(D1254-1))</f>
        <v/>
      </c>
      <c r="I1254" s="9">
        <f>A1254&amp;'x'&amp;B1254</f>
        <v/>
      </c>
      <c r="J1254" s="9">
        <f>IF(AND(G1254&gt;0.9,G1254&lt;1),"OK","CHECK")</f>
        <v/>
      </c>
    </row>
    <row r="1255">
      <c r="A1255" s="9" t="n">
        <v>49</v>
      </c>
      <c r="B1255" s="9" t="n">
        <v>4</v>
      </c>
      <c r="C1255" s="9" t="n">
        <v>45</v>
      </c>
      <c r="D1255" s="9" t="n">
        <v>25</v>
      </c>
      <c r="E1255" s="10">
        <f>COMBIN(A1255,D1255)/COMBIN(A1255-B1255,D1255)</f>
        <v/>
      </c>
      <c r="F1255" s="11">
        <f>ROUNDUP(E1255*Controls!$B$4,4)</f>
        <v/>
      </c>
      <c r="G1255" s="12">
        <f>F1255/E1255</f>
        <v/>
      </c>
      <c r="H1255" s="10">
        <f>(A1255-B1255-(D1255-1))/(A1255-(D1255-1))</f>
        <v/>
      </c>
      <c r="I1255" s="9">
        <f>A1255&amp;'x'&amp;B1255</f>
        <v/>
      </c>
      <c r="J1255" s="9">
        <f>IF(AND(G1255&gt;0.9,G1255&lt;1),"OK","CHECK")</f>
        <v/>
      </c>
    </row>
    <row r="1256">
      <c r="A1256" s="9" t="n">
        <v>49</v>
      </c>
      <c r="B1256" s="9" t="n">
        <v>4</v>
      </c>
      <c r="C1256" s="9" t="n">
        <v>45</v>
      </c>
      <c r="D1256" s="9" t="n">
        <v>26</v>
      </c>
      <c r="E1256" s="10">
        <f>COMBIN(A1256,D1256)/COMBIN(A1256-B1256,D1256)</f>
        <v/>
      </c>
      <c r="F1256" s="11">
        <f>ROUNDUP(E1256*Controls!$B$4,4)</f>
        <v/>
      </c>
      <c r="G1256" s="12">
        <f>F1256/E1256</f>
        <v/>
      </c>
      <c r="H1256" s="10">
        <f>(A1256-B1256-(D1256-1))/(A1256-(D1256-1))</f>
        <v/>
      </c>
      <c r="I1256" s="9">
        <f>A1256&amp;'x'&amp;B1256</f>
        <v/>
      </c>
      <c r="J1256" s="9">
        <f>IF(AND(G1256&gt;0.9,G1256&lt;1),"OK","CHECK")</f>
        <v/>
      </c>
    </row>
    <row r="1257">
      <c r="A1257" s="9" t="n">
        <v>49</v>
      </c>
      <c r="B1257" s="9" t="n">
        <v>4</v>
      </c>
      <c r="C1257" s="9" t="n">
        <v>45</v>
      </c>
      <c r="D1257" s="9" t="n">
        <v>27</v>
      </c>
      <c r="E1257" s="10">
        <f>COMBIN(A1257,D1257)/COMBIN(A1257-B1257,D1257)</f>
        <v/>
      </c>
      <c r="F1257" s="11">
        <f>ROUNDUP(E1257*Controls!$B$4,4)</f>
        <v/>
      </c>
      <c r="G1257" s="12">
        <f>F1257/E1257</f>
        <v/>
      </c>
      <c r="H1257" s="10">
        <f>(A1257-B1257-(D1257-1))/(A1257-(D1257-1))</f>
        <v/>
      </c>
      <c r="I1257" s="9">
        <f>A1257&amp;'x'&amp;B1257</f>
        <v/>
      </c>
      <c r="J1257" s="9">
        <f>IF(AND(G1257&gt;0.9,G1257&lt;1),"OK","CHECK")</f>
        <v/>
      </c>
    </row>
    <row r="1258">
      <c r="A1258" s="9" t="n">
        <v>49</v>
      </c>
      <c r="B1258" s="9" t="n">
        <v>4</v>
      </c>
      <c r="C1258" s="9" t="n">
        <v>45</v>
      </c>
      <c r="D1258" s="9" t="n">
        <v>28</v>
      </c>
      <c r="E1258" s="10">
        <f>COMBIN(A1258,D1258)/COMBIN(A1258-B1258,D1258)</f>
        <v/>
      </c>
      <c r="F1258" s="11">
        <f>ROUNDUP(E1258*Controls!$B$4,4)</f>
        <v/>
      </c>
      <c r="G1258" s="12">
        <f>F1258/E1258</f>
        <v/>
      </c>
      <c r="H1258" s="10">
        <f>(A1258-B1258-(D1258-1))/(A1258-(D1258-1))</f>
        <v/>
      </c>
      <c r="I1258" s="9">
        <f>A1258&amp;'x'&amp;B1258</f>
        <v/>
      </c>
      <c r="J1258" s="9">
        <f>IF(AND(G1258&gt;0.9,G1258&lt;1),"OK","CHECK")</f>
        <v/>
      </c>
    </row>
    <row r="1259">
      <c r="A1259" s="9" t="n">
        <v>49</v>
      </c>
      <c r="B1259" s="9" t="n">
        <v>4</v>
      </c>
      <c r="C1259" s="9" t="n">
        <v>45</v>
      </c>
      <c r="D1259" s="9" t="n">
        <v>29</v>
      </c>
      <c r="E1259" s="10">
        <f>COMBIN(A1259,D1259)/COMBIN(A1259-B1259,D1259)</f>
        <v/>
      </c>
      <c r="F1259" s="11">
        <f>ROUNDUP(E1259*Controls!$B$4,4)</f>
        <v/>
      </c>
      <c r="G1259" s="12">
        <f>F1259/E1259</f>
        <v/>
      </c>
      <c r="H1259" s="10">
        <f>(A1259-B1259-(D1259-1))/(A1259-(D1259-1))</f>
        <v/>
      </c>
      <c r="I1259" s="9">
        <f>A1259&amp;'x'&amp;B1259</f>
        <v/>
      </c>
      <c r="J1259" s="9">
        <f>IF(AND(G1259&gt;0.9,G1259&lt;1),"OK","CHECK")</f>
        <v/>
      </c>
    </row>
    <row r="1260">
      <c r="A1260" s="9" t="n">
        <v>49</v>
      </c>
      <c r="B1260" s="9" t="n">
        <v>4</v>
      </c>
      <c r="C1260" s="9" t="n">
        <v>45</v>
      </c>
      <c r="D1260" s="9" t="n">
        <v>30</v>
      </c>
      <c r="E1260" s="10">
        <f>COMBIN(A1260,D1260)/COMBIN(A1260-B1260,D1260)</f>
        <v/>
      </c>
      <c r="F1260" s="11">
        <f>ROUNDUP(E1260*Controls!$B$4,4)</f>
        <v/>
      </c>
      <c r="G1260" s="12">
        <f>F1260/E1260</f>
        <v/>
      </c>
      <c r="H1260" s="10">
        <f>(A1260-B1260-(D1260-1))/(A1260-(D1260-1))</f>
        <v/>
      </c>
      <c r="I1260" s="9">
        <f>A1260&amp;'x'&amp;B1260</f>
        <v/>
      </c>
      <c r="J1260" s="9">
        <f>IF(AND(G1260&gt;0.9,G1260&lt;1),"OK","CHECK")</f>
        <v/>
      </c>
    </row>
    <row r="1261">
      <c r="A1261" s="9" t="n">
        <v>49</v>
      </c>
      <c r="B1261" s="9" t="n">
        <v>4</v>
      </c>
      <c r="C1261" s="9" t="n">
        <v>45</v>
      </c>
      <c r="D1261" s="9" t="n">
        <v>31</v>
      </c>
      <c r="E1261" s="10">
        <f>COMBIN(A1261,D1261)/COMBIN(A1261-B1261,D1261)</f>
        <v/>
      </c>
      <c r="F1261" s="11">
        <f>ROUNDUP(E1261*Controls!$B$4,4)</f>
        <v/>
      </c>
      <c r="G1261" s="12">
        <f>F1261/E1261</f>
        <v/>
      </c>
      <c r="H1261" s="10">
        <f>(A1261-B1261-(D1261-1))/(A1261-(D1261-1))</f>
        <v/>
      </c>
      <c r="I1261" s="9">
        <f>A1261&amp;'x'&amp;B1261</f>
        <v/>
      </c>
      <c r="J1261" s="9">
        <f>IF(AND(G1261&gt;0.9,G1261&lt;1),"OK","CHECK")</f>
        <v/>
      </c>
    </row>
    <row r="1262">
      <c r="A1262" s="9" t="n">
        <v>49</v>
      </c>
      <c r="B1262" s="9" t="n">
        <v>4</v>
      </c>
      <c r="C1262" s="9" t="n">
        <v>45</v>
      </c>
      <c r="D1262" s="9" t="n">
        <v>32</v>
      </c>
      <c r="E1262" s="10">
        <f>COMBIN(A1262,D1262)/COMBIN(A1262-B1262,D1262)</f>
        <v/>
      </c>
      <c r="F1262" s="11">
        <f>ROUNDUP(E1262*Controls!$B$4,4)</f>
        <v/>
      </c>
      <c r="G1262" s="12">
        <f>F1262/E1262</f>
        <v/>
      </c>
      <c r="H1262" s="10">
        <f>(A1262-B1262-(D1262-1))/(A1262-(D1262-1))</f>
        <v/>
      </c>
      <c r="I1262" s="9">
        <f>A1262&amp;'x'&amp;B1262</f>
        <v/>
      </c>
      <c r="J1262" s="9">
        <f>IF(AND(G1262&gt;0.9,G1262&lt;1),"OK","CHECK")</f>
        <v/>
      </c>
    </row>
    <row r="1263">
      <c r="A1263" s="9" t="n">
        <v>49</v>
      </c>
      <c r="B1263" s="9" t="n">
        <v>4</v>
      </c>
      <c r="C1263" s="9" t="n">
        <v>45</v>
      </c>
      <c r="D1263" s="9" t="n">
        <v>33</v>
      </c>
      <c r="E1263" s="10">
        <f>COMBIN(A1263,D1263)/COMBIN(A1263-B1263,D1263)</f>
        <v/>
      </c>
      <c r="F1263" s="11">
        <f>ROUNDUP(E1263*Controls!$B$4,4)</f>
        <v/>
      </c>
      <c r="G1263" s="12">
        <f>F1263/E1263</f>
        <v/>
      </c>
      <c r="H1263" s="10">
        <f>(A1263-B1263-(D1263-1))/(A1263-(D1263-1))</f>
        <v/>
      </c>
      <c r="I1263" s="9">
        <f>A1263&amp;'x'&amp;B1263</f>
        <v/>
      </c>
      <c r="J1263" s="9">
        <f>IF(AND(G1263&gt;0.9,G1263&lt;1),"OK","CHECK")</f>
        <v/>
      </c>
    </row>
    <row r="1264">
      <c r="A1264" s="9" t="n">
        <v>49</v>
      </c>
      <c r="B1264" s="9" t="n">
        <v>4</v>
      </c>
      <c r="C1264" s="9" t="n">
        <v>45</v>
      </c>
      <c r="D1264" s="9" t="n">
        <v>34</v>
      </c>
      <c r="E1264" s="10">
        <f>COMBIN(A1264,D1264)/COMBIN(A1264-B1264,D1264)</f>
        <v/>
      </c>
      <c r="F1264" s="11">
        <f>ROUNDUP(E1264*Controls!$B$4,4)</f>
        <v/>
      </c>
      <c r="G1264" s="12">
        <f>F1264/E1264</f>
        <v/>
      </c>
      <c r="H1264" s="10">
        <f>(A1264-B1264-(D1264-1))/(A1264-(D1264-1))</f>
        <v/>
      </c>
      <c r="I1264" s="9">
        <f>A1264&amp;'x'&amp;B1264</f>
        <v/>
      </c>
      <c r="J1264" s="9">
        <f>IF(AND(G1264&gt;0.9,G1264&lt;1),"OK","CHECK")</f>
        <v/>
      </c>
    </row>
    <row r="1265">
      <c r="A1265" s="9" t="n">
        <v>49</v>
      </c>
      <c r="B1265" s="9" t="n">
        <v>4</v>
      </c>
      <c r="C1265" s="9" t="n">
        <v>45</v>
      </c>
      <c r="D1265" s="9" t="n">
        <v>35</v>
      </c>
      <c r="E1265" s="10">
        <f>COMBIN(A1265,D1265)/COMBIN(A1265-B1265,D1265)</f>
        <v/>
      </c>
      <c r="F1265" s="11">
        <f>ROUNDUP(E1265*Controls!$B$4,4)</f>
        <v/>
      </c>
      <c r="G1265" s="12">
        <f>F1265/E1265</f>
        <v/>
      </c>
      <c r="H1265" s="10">
        <f>(A1265-B1265-(D1265-1))/(A1265-(D1265-1))</f>
        <v/>
      </c>
      <c r="I1265" s="9">
        <f>A1265&amp;'x'&amp;B1265</f>
        <v/>
      </c>
      <c r="J1265" s="9">
        <f>IF(AND(G1265&gt;0.9,G1265&lt;1),"OK","CHECK")</f>
        <v/>
      </c>
    </row>
    <row r="1266">
      <c r="A1266" s="9" t="n">
        <v>49</v>
      </c>
      <c r="B1266" s="9" t="n">
        <v>4</v>
      </c>
      <c r="C1266" s="9" t="n">
        <v>45</v>
      </c>
      <c r="D1266" s="9" t="n">
        <v>36</v>
      </c>
      <c r="E1266" s="10">
        <f>COMBIN(A1266,D1266)/COMBIN(A1266-B1266,D1266)</f>
        <v/>
      </c>
      <c r="F1266" s="11">
        <f>ROUNDUP(E1266*Controls!$B$4,4)</f>
        <v/>
      </c>
      <c r="G1266" s="12">
        <f>F1266/E1266</f>
        <v/>
      </c>
      <c r="H1266" s="10">
        <f>(A1266-B1266-(D1266-1))/(A1266-(D1266-1))</f>
        <v/>
      </c>
      <c r="I1266" s="9">
        <f>A1266&amp;'x'&amp;B1266</f>
        <v/>
      </c>
      <c r="J1266" s="9">
        <f>IF(AND(G1266&gt;0.9,G1266&lt;1),"OK","CHECK")</f>
        <v/>
      </c>
    </row>
    <row r="1267">
      <c r="A1267" s="9" t="n">
        <v>49</v>
      </c>
      <c r="B1267" s="9" t="n">
        <v>4</v>
      </c>
      <c r="C1267" s="9" t="n">
        <v>45</v>
      </c>
      <c r="D1267" s="9" t="n">
        <v>37</v>
      </c>
      <c r="E1267" s="10">
        <f>COMBIN(A1267,D1267)/COMBIN(A1267-B1267,D1267)</f>
        <v/>
      </c>
      <c r="F1267" s="11">
        <f>ROUNDUP(E1267*Controls!$B$4,4)</f>
        <v/>
      </c>
      <c r="G1267" s="12">
        <f>F1267/E1267</f>
        <v/>
      </c>
      <c r="H1267" s="10">
        <f>(A1267-B1267-(D1267-1))/(A1267-(D1267-1))</f>
        <v/>
      </c>
      <c r="I1267" s="9">
        <f>A1267&amp;'x'&amp;B1267</f>
        <v/>
      </c>
      <c r="J1267" s="9">
        <f>IF(AND(G1267&gt;0.9,G1267&lt;1),"OK","CHECK")</f>
        <v/>
      </c>
    </row>
    <row r="1268">
      <c r="A1268" s="9" t="n">
        <v>49</v>
      </c>
      <c r="B1268" s="9" t="n">
        <v>4</v>
      </c>
      <c r="C1268" s="9" t="n">
        <v>45</v>
      </c>
      <c r="D1268" s="9" t="n">
        <v>38</v>
      </c>
      <c r="E1268" s="10">
        <f>COMBIN(A1268,D1268)/COMBIN(A1268-B1268,D1268)</f>
        <v/>
      </c>
      <c r="F1268" s="11">
        <f>ROUNDUP(E1268*Controls!$B$4,4)</f>
        <v/>
      </c>
      <c r="G1268" s="12">
        <f>F1268/E1268</f>
        <v/>
      </c>
      <c r="H1268" s="10">
        <f>(A1268-B1268-(D1268-1))/(A1268-(D1268-1))</f>
        <v/>
      </c>
      <c r="I1268" s="9">
        <f>A1268&amp;'x'&amp;B1268</f>
        <v/>
      </c>
      <c r="J1268" s="9">
        <f>IF(AND(G1268&gt;0.9,G1268&lt;1),"OK","CHECK")</f>
        <v/>
      </c>
    </row>
    <row r="1269">
      <c r="A1269" s="9" t="n">
        <v>49</v>
      </c>
      <c r="B1269" s="9" t="n">
        <v>4</v>
      </c>
      <c r="C1269" s="9" t="n">
        <v>45</v>
      </c>
      <c r="D1269" s="9" t="n">
        <v>39</v>
      </c>
      <c r="E1269" s="10">
        <f>COMBIN(A1269,D1269)/COMBIN(A1269-B1269,D1269)</f>
        <v/>
      </c>
      <c r="F1269" s="11">
        <f>ROUNDUP(E1269*Controls!$B$4,4)</f>
        <v/>
      </c>
      <c r="G1269" s="12">
        <f>F1269/E1269</f>
        <v/>
      </c>
      <c r="H1269" s="10">
        <f>(A1269-B1269-(D1269-1))/(A1269-(D1269-1))</f>
        <v/>
      </c>
      <c r="I1269" s="9">
        <f>A1269&amp;'x'&amp;B1269</f>
        <v/>
      </c>
      <c r="J1269" s="9">
        <f>IF(AND(G1269&gt;0.9,G1269&lt;1),"OK","CHECK")</f>
        <v/>
      </c>
    </row>
    <row r="1270">
      <c r="A1270" s="9" t="n">
        <v>49</v>
      </c>
      <c r="B1270" s="9" t="n">
        <v>4</v>
      </c>
      <c r="C1270" s="9" t="n">
        <v>45</v>
      </c>
      <c r="D1270" s="9" t="n">
        <v>40</v>
      </c>
      <c r="E1270" s="10">
        <f>COMBIN(A1270,D1270)/COMBIN(A1270-B1270,D1270)</f>
        <v/>
      </c>
      <c r="F1270" s="11">
        <f>ROUNDUP(E1270*Controls!$B$4,4)</f>
        <v/>
      </c>
      <c r="G1270" s="12">
        <f>F1270/E1270</f>
        <v/>
      </c>
      <c r="H1270" s="10">
        <f>(A1270-B1270-(D1270-1))/(A1270-(D1270-1))</f>
        <v/>
      </c>
      <c r="I1270" s="9">
        <f>A1270&amp;'x'&amp;B1270</f>
        <v/>
      </c>
      <c r="J1270" s="9">
        <f>IF(AND(G1270&gt;0.9,G1270&lt;1),"OK","CHECK")</f>
        <v/>
      </c>
    </row>
    <row r="1271">
      <c r="A1271" s="9" t="n">
        <v>49</v>
      </c>
      <c r="B1271" s="9" t="n">
        <v>4</v>
      </c>
      <c r="C1271" s="9" t="n">
        <v>45</v>
      </c>
      <c r="D1271" s="9" t="n">
        <v>41</v>
      </c>
      <c r="E1271" s="10">
        <f>COMBIN(A1271,D1271)/COMBIN(A1271-B1271,D1271)</f>
        <v/>
      </c>
      <c r="F1271" s="11">
        <f>ROUNDUP(E1271*Controls!$B$4,4)</f>
        <v/>
      </c>
      <c r="G1271" s="12">
        <f>F1271/E1271</f>
        <v/>
      </c>
      <c r="H1271" s="10">
        <f>(A1271-B1271-(D1271-1))/(A1271-(D1271-1))</f>
        <v/>
      </c>
      <c r="I1271" s="9">
        <f>A1271&amp;'x'&amp;B1271</f>
        <v/>
      </c>
      <c r="J1271" s="9">
        <f>IF(AND(G1271&gt;0.9,G1271&lt;1),"OK","CHECK")</f>
        <v/>
      </c>
    </row>
    <row r="1272">
      <c r="A1272" s="9" t="n">
        <v>49</v>
      </c>
      <c r="B1272" s="9" t="n">
        <v>4</v>
      </c>
      <c r="C1272" s="9" t="n">
        <v>45</v>
      </c>
      <c r="D1272" s="9" t="n">
        <v>42</v>
      </c>
      <c r="E1272" s="10">
        <f>COMBIN(A1272,D1272)/COMBIN(A1272-B1272,D1272)</f>
        <v/>
      </c>
      <c r="F1272" s="11">
        <f>ROUNDUP(E1272*Controls!$B$4,4)</f>
        <v/>
      </c>
      <c r="G1272" s="12">
        <f>F1272/E1272</f>
        <v/>
      </c>
      <c r="H1272" s="10">
        <f>(A1272-B1272-(D1272-1))/(A1272-(D1272-1))</f>
        <v/>
      </c>
      <c r="I1272" s="9">
        <f>A1272&amp;'x'&amp;B1272</f>
        <v/>
      </c>
      <c r="J1272" s="9">
        <f>IF(AND(G1272&gt;0.9,G1272&lt;1),"OK","CHECK")</f>
        <v/>
      </c>
    </row>
    <row r="1273">
      <c r="A1273" s="9" t="n">
        <v>49</v>
      </c>
      <c r="B1273" s="9" t="n">
        <v>4</v>
      </c>
      <c r="C1273" s="9" t="n">
        <v>45</v>
      </c>
      <c r="D1273" s="9" t="n">
        <v>43</v>
      </c>
      <c r="E1273" s="10">
        <f>COMBIN(A1273,D1273)/COMBIN(A1273-B1273,D1273)</f>
        <v/>
      </c>
      <c r="F1273" s="11">
        <f>ROUNDUP(E1273*Controls!$B$4,4)</f>
        <v/>
      </c>
      <c r="G1273" s="12">
        <f>F1273/E1273</f>
        <v/>
      </c>
      <c r="H1273" s="10">
        <f>(A1273-B1273-(D1273-1))/(A1273-(D1273-1))</f>
        <v/>
      </c>
      <c r="I1273" s="9">
        <f>A1273&amp;'x'&amp;B1273</f>
        <v/>
      </c>
      <c r="J1273" s="9">
        <f>IF(AND(G1273&gt;0.9,G1273&lt;1),"OK","CHECK")</f>
        <v/>
      </c>
    </row>
    <row r="1274">
      <c r="A1274" s="9" t="n">
        <v>49</v>
      </c>
      <c r="B1274" s="9" t="n">
        <v>4</v>
      </c>
      <c r="C1274" s="9" t="n">
        <v>45</v>
      </c>
      <c r="D1274" s="9" t="n">
        <v>44</v>
      </c>
      <c r="E1274" s="10">
        <f>COMBIN(A1274,D1274)/COMBIN(A1274-B1274,D1274)</f>
        <v/>
      </c>
      <c r="F1274" s="11">
        <f>ROUNDUP(E1274*Controls!$B$4,4)</f>
        <v/>
      </c>
      <c r="G1274" s="12">
        <f>F1274/E1274</f>
        <v/>
      </c>
      <c r="H1274" s="10">
        <f>(A1274-B1274-(D1274-1))/(A1274-(D1274-1))</f>
        <v/>
      </c>
      <c r="I1274" s="9">
        <f>A1274&amp;'x'&amp;B1274</f>
        <v/>
      </c>
      <c r="J1274" s="9">
        <f>IF(AND(G1274&gt;0.9,G1274&lt;1),"OK","CHECK")</f>
        <v/>
      </c>
    </row>
    <row r="1275">
      <c r="A1275" s="9" t="n">
        <v>49</v>
      </c>
      <c r="B1275" s="9" t="n">
        <v>4</v>
      </c>
      <c r="C1275" s="9" t="n">
        <v>45</v>
      </c>
      <c r="D1275" s="9" t="n">
        <v>45</v>
      </c>
      <c r="E1275" s="10">
        <f>COMBIN(A1275,D1275)/COMBIN(A1275-B1275,D1275)</f>
        <v/>
      </c>
      <c r="F1275" s="11">
        <f>ROUNDUP(E1275*Controls!$B$4,4)</f>
        <v/>
      </c>
      <c r="G1275" s="12">
        <f>F1275/E1275</f>
        <v/>
      </c>
      <c r="H1275" s="10">
        <f>(A1275-B1275-(D1275-1))/(A1275-(D1275-1))</f>
        <v/>
      </c>
      <c r="I1275" s="9">
        <f>A1275&amp;'x'&amp;B1275</f>
        <v/>
      </c>
      <c r="J1275" s="9">
        <f>IF(AND(G1275&gt;0.9,G1275&lt;1),"OK","CHECK")</f>
        <v/>
      </c>
    </row>
    <row r="1276">
      <c r="A1276" s="9" t="n">
        <v>49</v>
      </c>
      <c r="B1276" s="9" t="n">
        <v>5</v>
      </c>
      <c r="C1276" s="9" t="n">
        <v>44</v>
      </c>
      <c r="D1276" s="9" t="n">
        <v>1</v>
      </c>
      <c r="E1276" s="10">
        <f>COMBIN(A1276,D1276)/COMBIN(A1276-B1276,D1276)</f>
        <v/>
      </c>
      <c r="F1276" s="11">
        <f>ROUNDUP(E1276*Controls!$B$4,4)</f>
        <v/>
      </c>
      <c r="G1276" s="12">
        <f>F1276/E1276</f>
        <v/>
      </c>
      <c r="H1276" s="10">
        <f>(A1276-B1276-(D1276-1))/(A1276-(D1276-1))</f>
        <v/>
      </c>
      <c r="I1276" s="9">
        <f>A1276&amp;'x'&amp;B1276</f>
        <v/>
      </c>
      <c r="J1276" s="9">
        <f>IF(AND(G1276&gt;0.9,G1276&lt;1),"OK","CHECK")</f>
        <v/>
      </c>
    </row>
    <row r="1277">
      <c r="A1277" s="9" t="n">
        <v>49</v>
      </c>
      <c r="B1277" s="9" t="n">
        <v>5</v>
      </c>
      <c r="C1277" s="9" t="n">
        <v>44</v>
      </c>
      <c r="D1277" s="9" t="n">
        <v>2</v>
      </c>
      <c r="E1277" s="10">
        <f>COMBIN(A1277,D1277)/COMBIN(A1277-B1277,D1277)</f>
        <v/>
      </c>
      <c r="F1277" s="11">
        <f>ROUNDUP(E1277*Controls!$B$4,4)</f>
        <v/>
      </c>
      <c r="G1277" s="12">
        <f>F1277/E1277</f>
        <v/>
      </c>
      <c r="H1277" s="10">
        <f>(A1277-B1277-(D1277-1))/(A1277-(D1277-1))</f>
        <v/>
      </c>
      <c r="I1277" s="9">
        <f>A1277&amp;'x'&amp;B1277</f>
        <v/>
      </c>
      <c r="J1277" s="9">
        <f>IF(AND(G1277&gt;0.9,G1277&lt;1),"OK","CHECK")</f>
        <v/>
      </c>
    </row>
    <row r="1278">
      <c r="A1278" s="9" t="n">
        <v>49</v>
      </c>
      <c r="B1278" s="9" t="n">
        <v>5</v>
      </c>
      <c r="C1278" s="9" t="n">
        <v>44</v>
      </c>
      <c r="D1278" s="9" t="n">
        <v>3</v>
      </c>
      <c r="E1278" s="10">
        <f>COMBIN(A1278,D1278)/COMBIN(A1278-B1278,D1278)</f>
        <v/>
      </c>
      <c r="F1278" s="11">
        <f>ROUNDUP(E1278*Controls!$B$4,4)</f>
        <v/>
      </c>
      <c r="G1278" s="12">
        <f>F1278/E1278</f>
        <v/>
      </c>
      <c r="H1278" s="10">
        <f>(A1278-B1278-(D1278-1))/(A1278-(D1278-1))</f>
        <v/>
      </c>
      <c r="I1278" s="9">
        <f>A1278&amp;'x'&amp;B1278</f>
        <v/>
      </c>
      <c r="J1278" s="9">
        <f>IF(AND(G1278&gt;0.9,G1278&lt;1),"OK","CHECK")</f>
        <v/>
      </c>
    </row>
    <row r="1279">
      <c r="A1279" s="9" t="n">
        <v>49</v>
      </c>
      <c r="B1279" s="9" t="n">
        <v>5</v>
      </c>
      <c r="C1279" s="9" t="n">
        <v>44</v>
      </c>
      <c r="D1279" s="9" t="n">
        <v>4</v>
      </c>
      <c r="E1279" s="10">
        <f>COMBIN(A1279,D1279)/COMBIN(A1279-B1279,D1279)</f>
        <v/>
      </c>
      <c r="F1279" s="11">
        <f>ROUNDUP(E1279*Controls!$B$4,4)</f>
        <v/>
      </c>
      <c r="G1279" s="12">
        <f>F1279/E1279</f>
        <v/>
      </c>
      <c r="H1279" s="10">
        <f>(A1279-B1279-(D1279-1))/(A1279-(D1279-1))</f>
        <v/>
      </c>
      <c r="I1279" s="9">
        <f>A1279&amp;'x'&amp;B1279</f>
        <v/>
      </c>
      <c r="J1279" s="9">
        <f>IF(AND(G1279&gt;0.9,G1279&lt;1),"OK","CHECK")</f>
        <v/>
      </c>
    </row>
    <row r="1280">
      <c r="A1280" s="9" t="n">
        <v>49</v>
      </c>
      <c r="B1280" s="9" t="n">
        <v>5</v>
      </c>
      <c r="C1280" s="9" t="n">
        <v>44</v>
      </c>
      <c r="D1280" s="9" t="n">
        <v>5</v>
      </c>
      <c r="E1280" s="10">
        <f>COMBIN(A1280,D1280)/COMBIN(A1280-B1280,D1280)</f>
        <v/>
      </c>
      <c r="F1280" s="11">
        <f>ROUNDUP(E1280*Controls!$B$4,4)</f>
        <v/>
      </c>
      <c r="G1280" s="12">
        <f>F1280/E1280</f>
        <v/>
      </c>
      <c r="H1280" s="10">
        <f>(A1280-B1280-(D1280-1))/(A1280-(D1280-1))</f>
        <v/>
      </c>
      <c r="I1280" s="9">
        <f>A1280&amp;'x'&amp;B1280</f>
        <v/>
      </c>
      <c r="J1280" s="9">
        <f>IF(AND(G1280&gt;0.9,G1280&lt;1),"OK","CHECK")</f>
        <v/>
      </c>
    </row>
    <row r="1281">
      <c r="A1281" s="9" t="n">
        <v>49</v>
      </c>
      <c r="B1281" s="9" t="n">
        <v>5</v>
      </c>
      <c r="C1281" s="9" t="n">
        <v>44</v>
      </c>
      <c r="D1281" s="9" t="n">
        <v>6</v>
      </c>
      <c r="E1281" s="10">
        <f>COMBIN(A1281,D1281)/COMBIN(A1281-B1281,D1281)</f>
        <v/>
      </c>
      <c r="F1281" s="11">
        <f>ROUNDUP(E1281*Controls!$B$4,4)</f>
        <v/>
      </c>
      <c r="G1281" s="12">
        <f>F1281/E1281</f>
        <v/>
      </c>
      <c r="H1281" s="10">
        <f>(A1281-B1281-(D1281-1))/(A1281-(D1281-1))</f>
        <v/>
      </c>
      <c r="I1281" s="9">
        <f>A1281&amp;'x'&amp;B1281</f>
        <v/>
      </c>
      <c r="J1281" s="9">
        <f>IF(AND(G1281&gt;0.9,G1281&lt;1),"OK","CHECK")</f>
        <v/>
      </c>
    </row>
    <row r="1282">
      <c r="A1282" s="9" t="n">
        <v>49</v>
      </c>
      <c r="B1282" s="9" t="n">
        <v>5</v>
      </c>
      <c r="C1282" s="9" t="n">
        <v>44</v>
      </c>
      <c r="D1282" s="9" t="n">
        <v>7</v>
      </c>
      <c r="E1282" s="10">
        <f>COMBIN(A1282,D1282)/COMBIN(A1282-B1282,D1282)</f>
        <v/>
      </c>
      <c r="F1282" s="11">
        <f>ROUNDUP(E1282*Controls!$B$4,4)</f>
        <v/>
      </c>
      <c r="G1282" s="12">
        <f>F1282/E1282</f>
        <v/>
      </c>
      <c r="H1282" s="10">
        <f>(A1282-B1282-(D1282-1))/(A1282-(D1282-1))</f>
        <v/>
      </c>
      <c r="I1282" s="9">
        <f>A1282&amp;'x'&amp;B1282</f>
        <v/>
      </c>
      <c r="J1282" s="9">
        <f>IF(AND(G1282&gt;0.9,G1282&lt;1),"OK","CHECK")</f>
        <v/>
      </c>
    </row>
    <row r="1283">
      <c r="A1283" s="9" t="n">
        <v>49</v>
      </c>
      <c r="B1283" s="9" t="n">
        <v>5</v>
      </c>
      <c r="C1283" s="9" t="n">
        <v>44</v>
      </c>
      <c r="D1283" s="9" t="n">
        <v>8</v>
      </c>
      <c r="E1283" s="10">
        <f>COMBIN(A1283,D1283)/COMBIN(A1283-B1283,D1283)</f>
        <v/>
      </c>
      <c r="F1283" s="11">
        <f>ROUNDUP(E1283*Controls!$B$4,4)</f>
        <v/>
      </c>
      <c r="G1283" s="12">
        <f>F1283/E1283</f>
        <v/>
      </c>
      <c r="H1283" s="10">
        <f>(A1283-B1283-(D1283-1))/(A1283-(D1283-1))</f>
        <v/>
      </c>
      <c r="I1283" s="9">
        <f>A1283&amp;'x'&amp;B1283</f>
        <v/>
      </c>
      <c r="J1283" s="9">
        <f>IF(AND(G1283&gt;0.9,G1283&lt;1),"OK","CHECK")</f>
        <v/>
      </c>
    </row>
    <row r="1284">
      <c r="A1284" s="9" t="n">
        <v>49</v>
      </c>
      <c r="B1284" s="9" t="n">
        <v>5</v>
      </c>
      <c r="C1284" s="9" t="n">
        <v>44</v>
      </c>
      <c r="D1284" s="9" t="n">
        <v>9</v>
      </c>
      <c r="E1284" s="10">
        <f>COMBIN(A1284,D1284)/COMBIN(A1284-B1284,D1284)</f>
        <v/>
      </c>
      <c r="F1284" s="11">
        <f>ROUNDUP(E1284*Controls!$B$4,4)</f>
        <v/>
      </c>
      <c r="G1284" s="12">
        <f>F1284/E1284</f>
        <v/>
      </c>
      <c r="H1284" s="10">
        <f>(A1284-B1284-(D1284-1))/(A1284-(D1284-1))</f>
        <v/>
      </c>
      <c r="I1284" s="9">
        <f>A1284&amp;'x'&amp;B1284</f>
        <v/>
      </c>
      <c r="J1284" s="9">
        <f>IF(AND(G1284&gt;0.9,G1284&lt;1),"OK","CHECK")</f>
        <v/>
      </c>
    </row>
    <row r="1285">
      <c r="A1285" s="9" t="n">
        <v>49</v>
      </c>
      <c r="B1285" s="9" t="n">
        <v>5</v>
      </c>
      <c r="C1285" s="9" t="n">
        <v>44</v>
      </c>
      <c r="D1285" s="9" t="n">
        <v>10</v>
      </c>
      <c r="E1285" s="10">
        <f>COMBIN(A1285,D1285)/COMBIN(A1285-B1285,D1285)</f>
        <v/>
      </c>
      <c r="F1285" s="11">
        <f>ROUNDUP(E1285*Controls!$B$4,4)</f>
        <v/>
      </c>
      <c r="G1285" s="12">
        <f>F1285/E1285</f>
        <v/>
      </c>
      <c r="H1285" s="10">
        <f>(A1285-B1285-(D1285-1))/(A1285-(D1285-1))</f>
        <v/>
      </c>
      <c r="I1285" s="9">
        <f>A1285&amp;'x'&amp;B1285</f>
        <v/>
      </c>
      <c r="J1285" s="9">
        <f>IF(AND(G1285&gt;0.9,G1285&lt;1),"OK","CHECK")</f>
        <v/>
      </c>
    </row>
    <row r="1286">
      <c r="A1286" s="9" t="n">
        <v>49</v>
      </c>
      <c r="B1286" s="9" t="n">
        <v>5</v>
      </c>
      <c r="C1286" s="9" t="n">
        <v>44</v>
      </c>
      <c r="D1286" s="9" t="n">
        <v>11</v>
      </c>
      <c r="E1286" s="10">
        <f>COMBIN(A1286,D1286)/COMBIN(A1286-B1286,D1286)</f>
        <v/>
      </c>
      <c r="F1286" s="11">
        <f>ROUNDUP(E1286*Controls!$B$4,4)</f>
        <v/>
      </c>
      <c r="G1286" s="12">
        <f>F1286/E1286</f>
        <v/>
      </c>
      <c r="H1286" s="10">
        <f>(A1286-B1286-(D1286-1))/(A1286-(D1286-1))</f>
        <v/>
      </c>
      <c r="I1286" s="9">
        <f>A1286&amp;'x'&amp;B1286</f>
        <v/>
      </c>
      <c r="J1286" s="9">
        <f>IF(AND(G1286&gt;0.9,G1286&lt;1),"OK","CHECK")</f>
        <v/>
      </c>
    </row>
    <row r="1287">
      <c r="A1287" s="9" t="n">
        <v>49</v>
      </c>
      <c r="B1287" s="9" t="n">
        <v>5</v>
      </c>
      <c r="C1287" s="9" t="n">
        <v>44</v>
      </c>
      <c r="D1287" s="9" t="n">
        <v>12</v>
      </c>
      <c r="E1287" s="10">
        <f>COMBIN(A1287,D1287)/COMBIN(A1287-B1287,D1287)</f>
        <v/>
      </c>
      <c r="F1287" s="11">
        <f>ROUNDUP(E1287*Controls!$B$4,4)</f>
        <v/>
      </c>
      <c r="G1287" s="12">
        <f>F1287/E1287</f>
        <v/>
      </c>
      <c r="H1287" s="10">
        <f>(A1287-B1287-(D1287-1))/(A1287-(D1287-1))</f>
        <v/>
      </c>
      <c r="I1287" s="9">
        <f>A1287&amp;'x'&amp;B1287</f>
        <v/>
      </c>
      <c r="J1287" s="9">
        <f>IF(AND(G1287&gt;0.9,G1287&lt;1),"OK","CHECK")</f>
        <v/>
      </c>
    </row>
    <row r="1288">
      <c r="A1288" s="9" t="n">
        <v>49</v>
      </c>
      <c r="B1288" s="9" t="n">
        <v>5</v>
      </c>
      <c r="C1288" s="9" t="n">
        <v>44</v>
      </c>
      <c r="D1288" s="9" t="n">
        <v>13</v>
      </c>
      <c r="E1288" s="10">
        <f>COMBIN(A1288,D1288)/COMBIN(A1288-B1288,D1288)</f>
        <v/>
      </c>
      <c r="F1288" s="11">
        <f>ROUNDUP(E1288*Controls!$B$4,4)</f>
        <v/>
      </c>
      <c r="G1288" s="12">
        <f>F1288/E1288</f>
        <v/>
      </c>
      <c r="H1288" s="10">
        <f>(A1288-B1288-(D1288-1))/(A1288-(D1288-1))</f>
        <v/>
      </c>
      <c r="I1288" s="9">
        <f>A1288&amp;'x'&amp;B1288</f>
        <v/>
      </c>
      <c r="J1288" s="9">
        <f>IF(AND(G1288&gt;0.9,G1288&lt;1),"OK","CHECK")</f>
        <v/>
      </c>
    </row>
    <row r="1289">
      <c r="A1289" s="9" t="n">
        <v>49</v>
      </c>
      <c r="B1289" s="9" t="n">
        <v>5</v>
      </c>
      <c r="C1289" s="9" t="n">
        <v>44</v>
      </c>
      <c r="D1289" s="9" t="n">
        <v>14</v>
      </c>
      <c r="E1289" s="10">
        <f>COMBIN(A1289,D1289)/COMBIN(A1289-B1289,D1289)</f>
        <v/>
      </c>
      <c r="F1289" s="11">
        <f>ROUNDUP(E1289*Controls!$B$4,4)</f>
        <v/>
      </c>
      <c r="G1289" s="12">
        <f>F1289/E1289</f>
        <v/>
      </c>
      <c r="H1289" s="10">
        <f>(A1289-B1289-(D1289-1))/(A1289-(D1289-1))</f>
        <v/>
      </c>
      <c r="I1289" s="9">
        <f>A1289&amp;'x'&amp;B1289</f>
        <v/>
      </c>
      <c r="J1289" s="9">
        <f>IF(AND(G1289&gt;0.9,G1289&lt;1),"OK","CHECK")</f>
        <v/>
      </c>
    </row>
    <row r="1290">
      <c r="A1290" s="9" t="n">
        <v>49</v>
      </c>
      <c r="B1290" s="9" t="n">
        <v>5</v>
      </c>
      <c r="C1290" s="9" t="n">
        <v>44</v>
      </c>
      <c r="D1290" s="9" t="n">
        <v>15</v>
      </c>
      <c r="E1290" s="10">
        <f>COMBIN(A1290,D1290)/COMBIN(A1290-B1290,D1290)</f>
        <v/>
      </c>
      <c r="F1290" s="11">
        <f>ROUNDUP(E1290*Controls!$B$4,4)</f>
        <v/>
      </c>
      <c r="G1290" s="12">
        <f>F1290/E1290</f>
        <v/>
      </c>
      <c r="H1290" s="10">
        <f>(A1290-B1290-(D1290-1))/(A1290-(D1290-1))</f>
        <v/>
      </c>
      <c r="I1290" s="9">
        <f>A1290&amp;'x'&amp;B1290</f>
        <v/>
      </c>
      <c r="J1290" s="9">
        <f>IF(AND(G1290&gt;0.9,G1290&lt;1),"OK","CHECK")</f>
        <v/>
      </c>
    </row>
    <row r="1291">
      <c r="A1291" s="9" t="n">
        <v>49</v>
      </c>
      <c r="B1291" s="9" t="n">
        <v>5</v>
      </c>
      <c r="C1291" s="9" t="n">
        <v>44</v>
      </c>
      <c r="D1291" s="9" t="n">
        <v>16</v>
      </c>
      <c r="E1291" s="10">
        <f>COMBIN(A1291,D1291)/COMBIN(A1291-B1291,D1291)</f>
        <v/>
      </c>
      <c r="F1291" s="11">
        <f>ROUNDUP(E1291*Controls!$B$4,4)</f>
        <v/>
      </c>
      <c r="G1291" s="12">
        <f>F1291/E1291</f>
        <v/>
      </c>
      <c r="H1291" s="10">
        <f>(A1291-B1291-(D1291-1))/(A1291-(D1291-1))</f>
        <v/>
      </c>
      <c r="I1291" s="9">
        <f>A1291&amp;'x'&amp;B1291</f>
        <v/>
      </c>
      <c r="J1291" s="9">
        <f>IF(AND(G1291&gt;0.9,G1291&lt;1),"OK","CHECK")</f>
        <v/>
      </c>
    </row>
    <row r="1292">
      <c r="A1292" s="9" t="n">
        <v>49</v>
      </c>
      <c r="B1292" s="9" t="n">
        <v>5</v>
      </c>
      <c r="C1292" s="9" t="n">
        <v>44</v>
      </c>
      <c r="D1292" s="9" t="n">
        <v>17</v>
      </c>
      <c r="E1292" s="10">
        <f>COMBIN(A1292,D1292)/COMBIN(A1292-B1292,D1292)</f>
        <v/>
      </c>
      <c r="F1292" s="11">
        <f>ROUNDUP(E1292*Controls!$B$4,4)</f>
        <v/>
      </c>
      <c r="G1292" s="12">
        <f>F1292/E1292</f>
        <v/>
      </c>
      <c r="H1292" s="10">
        <f>(A1292-B1292-(D1292-1))/(A1292-(D1292-1))</f>
        <v/>
      </c>
      <c r="I1292" s="9">
        <f>A1292&amp;'x'&amp;B1292</f>
        <v/>
      </c>
      <c r="J1292" s="9">
        <f>IF(AND(G1292&gt;0.9,G1292&lt;1),"OK","CHECK")</f>
        <v/>
      </c>
    </row>
    <row r="1293">
      <c r="A1293" s="9" t="n">
        <v>49</v>
      </c>
      <c r="B1293" s="9" t="n">
        <v>5</v>
      </c>
      <c r="C1293" s="9" t="n">
        <v>44</v>
      </c>
      <c r="D1293" s="9" t="n">
        <v>18</v>
      </c>
      <c r="E1293" s="10">
        <f>COMBIN(A1293,D1293)/COMBIN(A1293-B1293,D1293)</f>
        <v/>
      </c>
      <c r="F1293" s="11">
        <f>ROUNDUP(E1293*Controls!$B$4,4)</f>
        <v/>
      </c>
      <c r="G1293" s="12">
        <f>F1293/E1293</f>
        <v/>
      </c>
      <c r="H1293" s="10">
        <f>(A1293-B1293-(D1293-1))/(A1293-(D1293-1))</f>
        <v/>
      </c>
      <c r="I1293" s="9">
        <f>A1293&amp;'x'&amp;B1293</f>
        <v/>
      </c>
      <c r="J1293" s="9">
        <f>IF(AND(G1293&gt;0.9,G1293&lt;1),"OK","CHECK")</f>
        <v/>
      </c>
    </row>
    <row r="1294">
      <c r="A1294" s="9" t="n">
        <v>49</v>
      </c>
      <c r="B1294" s="9" t="n">
        <v>5</v>
      </c>
      <c r="C1294" s="9" t="n">
        <v>44</v>
      </c>
      <c r="D1294" s="9" t="n">
        <v>19</v>
      </c>
      <c r="E1294" s="10">
        <f>COMBIN(A1294,D1294)/COMBIN(A1294-B1294,D1294)</f>
        <v/>
      </c>
      <c r="F1294" s="11">
        <f>ROUNDUP(E1294*Controls!$B$4,4)</f>
        <v/>
      </c>
      <c r="G1294" s="12">
        <f>F1294/E1294</f>
        <v/>
      </c>
      <c r="H1294" s="10">
        <f>(A1294-B1294-(D1294-1))/(A1294-(D1294-1))</f>
        <v/>
      </c>
      <c r="I1294" s="9">
        <f>A1294&amp;'x'&amp;B1294</f>
        <v/>
      </c>
      <c r="J1294" s="9">
        <f>IF(AND(G1294&gt;0.9,G1294&lt;1),"OK","CHECK")</f>
        <v/>
      </c>
    </row>
    <row r="1295">
      <c r="A1295" s="9" t="n">
        <v>49</v>
      </c>
      <c r="B1295" s="9" t="n">
        <v>5</v>
      </c>
      <c r="C1295" s="9" t="n">
        <v>44</v>
      </c>
      <c r="D1295" s="9" t="n">
        <v>20</v>
      </c>
      <c r="E1295" s="10">
        <f>COMBIN(A1295,D1295)/COMBIN(A1295-B1295,D1295)</f>
        <v/>
      </c>
      <c r="F1295" s="11">
        <f>ROUNDUP(E1295*Controls!$B$4,4)</f>
        <v/>
      </c>
      <c r="G1295" s="12">
        <f>F1295/E1295</f>
        <v/>
      </c>
      <c r="H1295" s="10">
        <f>(A1295-B1295-(D1295-1))/(A1295-(D1295-1))</f>
        <v/>
      </c>
      <c r="I1295" s="9">
        <f>A1295&amp;'x'&amp;B1295</f>
        <v/>
      </c>
      <c r="J1295" s="9">
        <f>IF(AND(G1295&gt;0.9,G1295&lt;1),"OK","CHECK")</f>
        <v/>
      </c>
    </row>
    <row r="1296">
      <c r="A1296" s="9" t="n">
        <v>49</v>
      </c>
      <c r="B1296" s="9" t="n">
        <v>5</v>
      </c>
      <c r="C1296" s="9" t="n">
        <v>44</v>
      </c>
      <c r="D1296" s="9" t="n">
        <v>21</v>
      </c>
      <c r="E1296" s="10">
        <f>COMBIN(A1296,D1296)/COMBIN(A1296-B1296,D1296)</f>
        <v/>
      </c>
      <c r="F1296" s="11">
        <f>ROUNDUP(E1296*Controls!$B$4,4)</f>
        <v/>
      </c>
      <c r="G1296" s="12">
        <f>F1296/E1296</f>
        <v/>
      </c>
      <c r="H1296" s="10">
        <f>(A1296-B1296-(D1296-1))/(A1296-(D1296-1))</f>
        <v/>
      </c>
      <c r="I1296" s="9">
        <f>A1296&amp;'x'&amp;B1296</f>
        <v/>
      </c>
      <c r="J1296" s="9">
        <f>IF(AND(G1296&gt;0.9,G1296&lt;1),"OK","CHECK")</f>
        <v/>
      </c>
    </row>
    <row r="1297">
      <c r="A1297" s="9" t="n">
        <v>49</v>
      </c>
      <c r="B1297" s="9" t="n">
        <v>5</v>
      </c>
      <c r="C1297" s="9" t="n">
        <v>44</v>
      </c>
      <c r="D1297" s="9" t="n">
        <v>22</v>
      </c>
      <c r="E1297" s="10">
        <f>COMBIN(A1297,D1297)/COMBIN(A1297-B1297,D1297)</f>
        <v/>
      </c>
      <c r="F1297" s="11">
        <f>ROUNDUP(E1297*Controls!$B$4,4)</f>
        <v/>
      </c>
      <c r="G1297" s="12">
        <f>F1297/E1297</f>
        <v/>
      </c>
      <c r="H1297" s="10">
        <f>(A1297-B1297-(D1297-1))/(A1297-(D1297-1))</f>
        <v/>
      </c>
      <c r="I1297" s="9">
        <f>A1297&amp;'x'&amp;B1297</f>
        <v/>
      </c>
      <c r="J1297" s="9">
        <f>IF(AND(G1297&gt;0.9,G1297&lt;1),"OK","CHECK")</f>
        <v/>
      </c>
    </row>
    <row r="1298">
      <c r="A1298" s="9" t="n">
        <v>49</v>
      </c>
      <c r="B1298" s="9" t="n">
        <v>5</v>
      </c>
      <c r="C1298" s="9" t="n">
        <v>44</v>
      </c>
      <c r="D1298" s="9" t="n">
        <v>23</v>
      </c>
      <c r="E1298" s="10">
        <f>COMBIN(A1298,D1298)/COMBIN(A1298-B1298,D1298)</f>
        <v/>
      </c>
      <c r="F1298" s="11">
        <f>ROUNDUP(E1298*Controls!$B$4,4)</f>
        <v/>
      </c>
      <c r="G1298" s="12">
        <f>F1298/E1298</f>
        <v/>
      </c>
      <c r="H1298" s="10">
        <f>(A1298-B1298-(D1298-1))/(A1298-(D1298-1))</f>
        <v/>
      </c>
      <c r="I1298" s="9">
        <f>A1298&amp;'x'&amp;B1298</f>
        <v/>
      </c>
      <c r="J1298" s="9">
        <f>IF(AND(G1298&gt;0.9,G1298&lt;1),"OK","CHECK")</f>
        <v/>
      </c>
    </row>
    <row r="1299">
      <c r="A1299" s="9" t="n">
        <v>49</v>
      </c>
      <c r="B1299" s="9" t="n">
        <v>5</v>
      </c>
      <c r="C1299" s="9" t="n">
        <v>44</v>
      </c>
      <c r="D1299" s="9" t="n">
        <v>24</v>
      </c>
      <c r="E1299" s="10">
        <f>COMBIN(A1299,D1299)/COMBIN(A1299-B1299,D1299)</f>
        <v/>
      </c>
      <c r="F1299" s="11">
        <f>ROUNDUP(E1299*Controls!$B$4,4)</f>
        <v/>
      </c>
      <c r="G1299" s="12">
        <f>F1299/E1299</f>
        <v/>
      </c>
      <c r="H1299" s="10">
        <f>(A1299-B1299-(D1299-1))/(A1299-(D1299-1))</f>
        <v/>
      </c>
      <c r="I1299" s="9">
        <f>A1299&amp;'x'&amp;B1299</f>
        <v/>
      </c>
      <c r="J1299" s="9">
        <f>IF(AND(G1299&gt;0.9,G1299&lt;1),"OK","CHECK")</f>
        <v/>
      </c>
    </row>
    <row r="1300">
      <c r="A1300" s="9" t="n">
        <v>49</v>
      </c>
      <c r="B1300" s="9" t="n">
        <v>5</v>
      </c>
      <c r="C1300" s="9" t="n">
        <v>44</v>
      </c>
      <c r="D1300" s="9" t="n">
        <v>25</v>
      </c>
      <c r="E1300" s="10">
        <f>COMBIN(A1300,D1300)/COMBIN(A1300-B1300,D1300)</f>
        <v/>
      </c>
      <c r="F1300" s="11">
        <f>ROUNDUP(E1300*Controls!$B$4,4)</f>
        <v/>
      </c>
      <c r="G1300" s="12">
        <f>F1300/E1300</f>
        <v/>
      </c>
      <c r="H1300" s="10">
        <f>(A1300-B1300-(D1300-1))/(A1300-(D1300-1))</f>
        <v/>
      </c>
      <c r="I1300" s="9">
        <f>A1300&amp;'x'&amp;B1300</f>
        <v/>
      </c>
      <c r="J1300" s="9">
        <f>IF(AND(G1300&gt;0.9,G1300&lt;1),"OK","CHECK")</f>
        <v/>
      </c>
    </row>
    <row r="1301">
      <c r="A1301" s="9" t="n">
        <v>49</v>
      </c>
      <c r="B1301" s="9" t="n">
        <v>5</v>
      </c>
      <c r="C1301" s="9" t="n">
        <v>44</v>
      </c>
      <c r="D1301" s="9" t="n">
        <v>26</v>
      </c>
      <c r="E1301" s="10">
        <f>COMBIN(A1301,D1301)/COMBIN(A1301-B1301,D1301)</f>
        <v/>
      </c>
      <c r="F1301" s="11">
        <f>ROUNDUP(E1301*Controls!$B$4,4)</f>
        <v/>
      </c>
      <c r="G1301" s="12">
        <f>F1301/E1301</f>
        <v/>
      </c>
      <c r="H1301" s="10">
        <f>(A1301-B1301-(D1301-1))/(A1301-(D1301-1))</f>
        <v/>
      </c>
      <c r="I1301" s="9">
        <f>A1301&amp;'x'&amp;B1301</f>
        <v/>
      </c>
      <c r="J1301" s="9">
        <f>IF(AND(G1301&gt;0.9,G1301&lt;1),"OK","CHECK")</f>
        <v/>
      </c>
    </row>
    <row r="1302">
      <c r="A1302" s="9" t="n">
        <v>49</v>
      </c>
      <c r="B1302" s="9" t="n">
        <v>5</v>
      </c>
      <c r="C1302" s="9" t="n">
        <v>44</v>
      </c>
      <c r="D1302" s="9" t="n">
        <v>27</v>
      </c>
      <c r="E1302" s="10">
        <f>COMBIN(A1302,D1302)/COMBIN(A1302-B1302,D1302)</f>
        <v/>
      </c>
      <c r="F1302" s="11">
        <f>ROUNDUP(E1302*Controls!$B$4,4)</f>
        <v/>
      </c>
      <c r="G1302" s="12">
        <f>F1302/E1302</f>
        <v/>
      </c>
      <c r="H1302" s="10">
        <f>(A1302-B1302-(D1302-1))/(A1302-(D1302-1))</f>
        <v/>
      </c>
      <c r="I1302" s="9">
        <f>A1302&amp;'x'&amp;B1302</f>
        <v/>
      </c>
      <c r="J1302" s="9">
        <f>IF(AND(G1302&gt;0.9,G1302&lt;1),"OK","CHECK")</f>
        <v/>
      </c>
    </row>
    <row r="1303">
      <c r="A1303" s="9" t="n">
        <v>49</v>
      </c>
      <c r="B1303" s="9" t="n">
        <v>5</v>
      </c>
      <c r="C1303" s="9" t="n">
        <v>44</v>
      </c>
      <c r="D1303" s="9" t="n">
        <v>28</v>
      </c>
      <c r="E1303" s="10">
        <f>COMBIN(A1303,D1303)/COMBIN(A1303-B1303,D1303)</f>
        <v/>
      </c>
      <c r="F1303" s="11">
        <f>ROUNDUP(E1303*Controls!$B$4,4)</f>
        <v/>
      </c>
      <c r="G1303" s="12">
        <f>F1303/E1303</f>
        <v/>
      </c>
      <c r="H1303" s="10">
        <f>(A1303-B1303-(D1303-1))/(A1303-(D1303-1))</f>
        <v/>
      </c>
      <c r="I1303" s="9">
        <f>A1303&amp;'x'&amp;B1303</f>
        <v/>
      </c>
      <c r="J1303" s="9">
        <f>IF(AND(G1303&gt;0.9,G1303&lt;1),"OK","CHECK")</f>
        <v/>
      </c>
    </row>
    <row r="1304">
      <c r="A1304" s="9" t="n">
        <v>49</v>
      </c>
      <c r="B1304" s="9" t="n">
        <v>5</v>
      </c>
      <c r="C1304" s="9" t="n">
        <v>44</v>
      </c>
      <c r="D1304" s="9" t="n">
        <v>29</v>
      </c>
      <c r="E1304" s="10">
        <f>COMBIN(A1304,D1304)/COMBIN(A1304-B1304,D1304)</f>
        <v/>
      </c>
      <c r="F1304" s="11">
        <f>ROUNDUP(E1304*Controls!$B$4,4)</f>
        <v/>
      </c>
      <c r="G1304" s="12">
        <f>F1304/E1304</f>
        <v/>
      </c>
      <c r="H1304" s="10">
        <f>(A1304-B1304-(D1304-1))/(A1304-(D1304-1))</f>
        <v/>
      </c>
      <c r="I1304" s="9">
        <f>A1304&amp;'x'&amp;B1304</f>
        <v/>
      </c>
      <c r="J1304" s="9">
        <f>IF(AND(G1304&gt;0.9,G1304&lt;1),"OK","CHECK")</f>
        <v/>
      </c>
    </row>
    <row r="1305">
      <c r="A1305" s="9" t="n">
        <v>49</v>
      </c>
      <c r="B1305" s="9" t="n">
        <v>5</v>
      </c>
      <c r="C1305" s="9" t="n">
        <v>44</v>
      </c>
      <c r="D1305" s="9" t="n">
        <v>30</v>
      </c>
      <c r="E1305" s="10">
        <f>COMBIN(A1305,D1305)/COMBIN(A1305-B1305,D1305)</f>
        <v/>
      </c>
      <c r="F1305" s="11">
        <f>ROUNDUP(E1305*Controls!$B$4,4)</f>
        <v/>
      </c>
      <c r="G1305" s="12">
        <f>F1305/E1305</f>
        <v/>
      </c>
      <c r="H1305" s="10">
        <f>(A1305-B1305-(D1305-1))/(A1305-(D1305-1))</f>
        <v/>
      </c>
      <c r="I1305" s="9">
        <f>A1305&amp;'x'&amp;B1305</f>
        <v/>
      </c>
      <c r="J1305" s="9">
        <f>IF(AND(G1305&gt;0.9,G1305&lt;1),"OK","CHECK")</f>
        <v/>
      </c>
    </row>
    <row r="1306">
      <c r="A1306" s="9" t="n">
        <v>49</v>
      </c>
      <c r="B1306" s="9" t="n">
        <v>5</v>
      </c>
      <c r="C1306" s="9" t="n">
        <v>44</v>
      </c>
      <c r="D1306" s="9" t="n">
        <v>31</v>
      </c>
      <c r="E1306" s="10">
        <f>COMBIN(A1306,D1306)/COMBIN(A1306-B1306,D1306)</f>
        <v/>
      </c>
      <c r="F1306" s="11">
        <f>ROUNDUP(E1306*Controls!$B$4,4)</f>
        <v/>
      </c>
      <c r="G1306" s="12">
        <f>F1306/E1306</f>
        <v/>
      </c>
      <c r="H1306" s="10">
        <f>(A1306-B1306-(D1306-1))/(A1306-(D1306-1))</f>
        <v/>
      </c>
      <c r="I1306" s="9">
        <f>A1306&amp;'x'&amp;B1306</f>
        <v/>
      </c>
      <c r="J1306" s="9">
        <f>IF(AND(G1306&gt;0.9,G1306&lt;1),"OK","CHECK")</f>
        <v/>
      </c>
    </row>
    <row r="1307">
      <c r="A1307" s="9" t="n">
        <v>49</v>
      </c>
      <c r="B1307" s="9" t="n">
        <v>5</v>
      </c>
      <c r="C1307" s="9" t="n">
        <v>44</v>
      </c>
      <c r="D1307" s="9" t="n">
        <v>32</v>
      </c>
      <c r="E1307" s="10">
        <f>COMBIN(A1307,D1307)/COMBIN(A1307-B1307,D1307)</f>
        <v/>
      </c>
      <c r="F1307" s="11">
        <f>ROUNDUP(E1307*Controls!$B$4,4)</f>
        <v/>
      </c>
      <c r="G1307" s="12">
        <f>F1307/E1307</f>
        <v/>
      </c>
      <c r="H1307" s="10">
        <f>(A1307-B1307-(D1307-1))/(A1307-(D1307-1))</f>
        <v/>
      </c>
      <c r="I1307" s="9">
        <f>A1307&amp;'x'&amp;B1307</f>
        <v/>
      </c>
      <c r="J1307" s="9">
        <f>IF(AND(G1307&gt;0.9,G1307&lt;1),"OK","CHECK")</f>
        <v/>
      </c>
    </row>
    <row r="1308">
      <c r="A1308" s="9" t="n">
        <v>49</v>
      </c>
      <c r="B1308" s="9" t="n">
        <v>5</v>
      </c>
      <c r="C1308" s="9" t="n">
        <v>44</v>
      </c>
      <c r="D1308" s="9" t="n">
        <v>33</v>
      </c>
      <c r="E1308" s="10">
        <f>COMBIN(A1308,D1308)/COMBIN(A1308-B1308,D1308)</f>
        <v/>
      </c>
      <c r="F1308" s="11">
        <f>ROUNDUP(E1308*Controls!$B$4,4)</f>
        <v/>
      </c>
      <c r="G1308" s="12">
        <f>F1308/E1308</f>
        <v/>
      </c>
      <c r="H1308" s="10">
        <f>(A1308-B1308-(D1308-1))/(A1308-(D1308-1))</f>
        <v/>
      </c>
      <c r="I1308" s="9">
        <f>A1308&amp;'x'&amp;B1308</f>
        <v/>
      </c>
      <c r="J1308" s="9">
        <f>IF(AND(G1308&gt;0.9,G1308&lt;1),"OK","CHECK")</f>
        <v/>
      </c>
    </row>
    <row r="1309">
      <c r="A1309" s="9" t="n">
        <v>49</v>
      </c>
      <c r="B1309" s="9" t="n">
        <v>5</v>
      </c>
      <c r="C1309" s="9" t="n">
        <v>44</v>
      </c>
      <c r="D1309" s="9" t="n">
        <v>34</v>
      </c>
      <c r="E1309" s="10">
        <f>COMBIN(A1309,D1309)/COMBIN(A1309-B1309,D1309)</f>
        <v/>
      </c>
      <c r="F1309" s="11">
        <f>ROUNDUP(E1309*Controls!$B$4,4)</f>
        <v/>
      </c>
      <c r="G1309" s="12">
        <f>F1309/E1309</f>
        <v/>
      </c>
      <c r="H1309" s="10">
        <f>(A1309-B1309-(D1309-1))/(A1309-(D1309-1))</f>
        <v/>
      </c>
      <c r="I1309" s="9">
        <f>A1309&amp;'x'&amp;B1309</f>
        <v/>
      </c>
      <c r="J1309" s="9">
        <f>IF(AND(G1309&gt;0.9,G1309&lt;1),"OK","CHECK")</f>
        <v/>
      </c>
    </row>
    <row r="1310">
      <c r="A1310" s="9" t="n">
        <v>49</v>
      </c>
      <c r="B1310" s="9" t="n">
        <v>5</v>
      </c>
      <c r="C1310" s="9" t="n">
        <v>44</v>
      </c>
      <c r="D1310" s="9" t="n">
        <v>35</v>
      </c>
      <c r="E1310" s="10">
        <f>COMBIN(A1310,D1310)/COMBIN(A1310-B1310,D1310)</f>
        <v/>
      </c>
      <c r="F1310" s="11">
        <f>ROUNDUP(E1310*Controls!$B$4,4)</f>
        <v/>
      </c>
      <c r="G1310" s="12">
        <f>F1310/E1310</f>
        <v/>
      </c>
      <c r="H1310" s="10">
        <f>(A1310-B1310-(D1310-1))/(A1310-(D1310-1))</f>
        <v/>
      </c>
      <c r="I1310" s="9">
        <f>A1310&amp;'x'&amp;B1310</f>
        <v/>
      </c>
      <c r="J1310" s="9">
        <f>IF(AND(G1310&gt;0.9,G1310&lt;1),"OK","CHECK")</f>
        <v/>
      </c>
    </row>
    <row r="1311">
      <c r="A1311" s="9" t="n">
        <v>49</v>
      </c>
      <c r="B1311" s="9" t="n">
        <v>5</v>
      </c>
      <c r="C1311" s="9" t="n">
        <v>44</v>
      </c>
      <c r="D1311" s="9" t="n">
        <v>36</v>
      </c>
      <c r="E1311" s="10">
        <f>COMBIN(A1311,D1311)/COMBIN(A1311-B1311,D1311)</f>
        <v/>
      </c>
      <c r="F1311" s="11">
        <f>ROUNDUP(E1311*Controls!$B$4,4)</f>
        <v/>
      </c>
      <c r="G1311" s="12">
        <f>F1311/E1311</f>
        <v/>
      </c>
      <c r="H1311" s="10">
        <f>(A1311-B1311-(D1311-1))/(A1311-(D1311-1))</f>
        <v/>
      </c>
      <c r="I1311" s="9">
        <f>A1311&amp;'x'&amp;B1311</f>
        <v/>
      </c>
      <c r="J1311" s="9">
        <f>IF(AND(G1311&gt;0.9,G1311&lt;1),"OK","CHECK")</f>
        <v/>
      </c>
    </row>
    <row r="1312">
      <c r="A1312" s="9" t="n">
        <v>49</v>
      </c>
      <c r="B1312" s="9" t="n">
        <v>5</v>
      </c>
      <c r="C1312" s="9" t="n">
        <v>44</v>
      </c>
      <c r="D1312" s="9" t="n">
        <v>37</v>
      </c>
      <c r="E1312" s="10">
        <f>COMBIN(A1312,D1312)/COMBIN(A1312-B1312,D1312)</f>
        <v/>
      </c>
      <c r="F1312" s="11">
        <f>ROUNDUP(E1312*Controls!$B$4,4)</f>
        <v/>
      </c>
      <c r="G1312" s="12">
        <f>F1312/E1312</f>
        <v/>
      </c>
      <c r="H1312" s="10">
        <f>(A1312-B1312-(D1312-1))/(A1312-(D1312-1))</f>
        <v/>
      </c>
      <c r="I1312" s="9">
        <f>A1312&amp;'x'&amp;B1312</f>
        <v/>
      </c>
      <c r="J1312" s="9">
        <f>IF(AND(G1312&gt;0.9,G1312&lt;1),"OK","CHECK")</f>
        <v/>
      </c>
    </row>
    <row r="1313">
      <c r="A1313" s="9" t="n">
        <v>49</v>
      </c>
      <c r="B1313" s="9" t="n">
        <v>5</v>
      </c>
      <c r="C1313" s="9" t="n">
        <v>44</v>
      </c>
      <c r="D1313" s="9" t="n">
        <v>38</v>
      </c>
      <c r="E1313" s="10">
        <f>COMBIN(A1313,D1313)/COMBIN(A1313-B1313,D1313)</f>
        <v/>
      </c>
      <c r="F1313" s="11">
        <f>ROUNDUP(E1313*Controls!$B$4,4)</f>
        <v/>
      </c>
      <c r="G1313" s="12">
        <f>F1313/E1313</f>
        <v/>
      </c>
      <c r="H1313" s="10">
        <f>(A1313-B1313-(D1313-1))/(A1313-(D1313-1))</f>
        <v/>
      </c>
      <c r="I1313" s="9">
        <f>A1313&amp;'x'&amp;B1313</f>
        <v/>
      </c>
      <c r="J1313" s="9">
        <f>IF(AND(G1313&gt;0.9,G1313&lt;1),"OK","CHECK")</f>
        <v/>
      </c>
    </row>
    <row r="1314">
      <c r="A1314" s="9" t="n">
        <v>49</v>
      </c>
      <c r="B1314" s="9" t="n">
        <v>5</v>
      </c>
      <c r="C1314" s="9" t="n">
        <v>44</v>
      </c>
      <c r="D1314" s="9" t="n">
        <v>39</v>
      </c>
      <c r="E1314" s="10">
        <f>COMBIN(A1314,D1314)/COMBIN(A1314-B1314,D1314)</f>
        <v/>
      </c>
      <c r="F1314" s="11">
        <f>ROUNDUP(E1314*Controls!$B$4,4)</f>
        <v/>
      </c>
      <c r="G1314" s="12">
        <f>F1314/E1314</f>
        <v/>
      </c>
      <c r="H1314" s="10">
        <f>(A1314-B1314-(D1314-1))/(A1314-(D1314-1))</f>
        <v/>
      </c>
      <c r="I1314" s="9">
        <f>A1314&amp;'x'&amp;B1314</f>
        <v/>
      </c>
      <c r="J1314" s="9">
        <f>IF(AND(G1314&gt;0.9,G1314&lt;1),"OK","CHECK")</f>
        <v/>
      </c>
    </row>
    <row r="1315">
      <c r="A1315" s="9" t="n">
        <v>49</v>
      </c>
      <c r="B1315" s="9" t="n">
        <v>5</v>
      </c>
      <c r="C1315" s="9" t="n">
        <v>44</v>
      </c>
      <c r="D1315" s="9" t="n">
        <v>40</v>
      </c>
      <c r="E1315" s="10">
        <f>COMBIN(A1315,D1315)/COMBIN(A1315-B1315,D1315)</f>
        <v/>
      </c>
      <c r="F1315" s="11">
        <f>ROUNDUP(E1315*Controls!$B$4,4)</f>
        <v/>
      </c>
      <c r="G1315" s="12">
        <f>F1315/E1315</f>
        <v/>
      </c>
      <c r="H1315" s="10">
        <f>(A1315-B1315-(D1315-1))/(A1315-(D1315-1))</f>
        <v/>
      </c>
      <c r="I1315" s="9">
        <f>A1315&amp;'x'&amp;B1315</f>
        <v/>
      </c>
      <c r="J1315" s="9">
        <f>IF(AND(G1315&gt;0.9,G1315&lt;1),"OK","CHECK")</f>
        <v/>
      </c>
    </row>
    <row r="1316">
      <c r="A1316" s="9" t="n">
        <v>49</v>
      </c>
      <c r="B1316" s="9" t="n">
        <v>5</v>
      </c>
      <c r="C1316" s="9" t="n">
        <v>44</v>
      </c>
      <c r="D1316" s="9" t="n">
        <v>41</v>
      </c>
      <c r="E1316" s="10">
        <f>COMBIN(A1316,D1316)/COMBIN(A1316-B1316,D1316)</f>
        <v/>
      </c>
      <c r="F1316" s="11">
        <f>ROUNDUP(E1316*Controls!$B$4,4)</f>
        <v/>
      </c>
      <c r="G1316" s="12">
        <f>F1316/E1316</f>
        <v/>
      </c>
      <c r="H1316" s="10">
        <f>(A1316-B1316-(D1316-1))/(A1316-(D1316-1))</f>
        <v/>
      </c>
      <c r="I1316" s="9">
        <f>A1316&amp;'x'&amp;B1316</f>
        <v/>
      </c>
      <c r="J1316" s="9">
        <f>IF(AND(G1316&gt;0.9,G1316&lt;1),"OK","CHECK")</f>
        <v/>
      </c>
    </row>
    <row r="1317">
      <c r="A1317" s="9" t="n">
        <v>49</v>
      </c>
      <c r="B1317" s="9" t="n">
        <v>5</v>
      </c>
      <c r="C1317" s="9" t="n">
        <v>44</v>
      </c>
      <c r="D1317" s="9" t="n">
        <v>42</v>
      </c>
      <c r="E1317" s="10">
        <f>COMBIN(A1317,D1317)/COMBIN(A1317-B1317,D1317)</f>
        <v/>
      </c>
      <c r="F1317" s="11">
        <f>ROUNDUP(E1317*Controls!$B$4,4)</f>
        <v/>
      </c>
      <c r="G1317" s="12">
        <f>F1317/E1317</f>
        <v/>
      </c>
      <c r="H1317" s="10">
        <f>(A1317-B1317-(D1317-1))/(A1317-(D1317-1))</f>
        <v/>
      </c>
      <c r="I1317" s="9">
        <f>A1317&amp;'x'&amp;B1317</f>
        <v/>
      </c>
      <c r="J1317" s="9">
        <f>IF(AND(G1317&gt;0.9,G1317&lt;1),"OK","CHECK")</f>
        <v/>
      </c>
    </row>
    <row r="1318">
      <c r="A1318" s="9" t="n">
        <v>49</v>
      </c>
      <c r="B1318" s="9" t="n">
        <v>5</v>
      </c>
      <c r="C1318" s="9" t="n">
        <v>44</v>
      </c>
      <c r="D1318" s="9" t="n">
        <v>43</v>
      </c>
      <c r="E1318" s="10">
        <f>COMBIN(A1318,D1318)/COMBIN(A1318-B1318,D1318)</f>
        <v/>
      </c>
      <c r="F1318" s="11">
        <f>ROUNDUP(E1318*Controls!$B$4,4)</f>
        <v/>
      </c>
      <c r="G1318" s="12">
        <f>F1318/E1318</f>
        <v/>
      </c>
      <c r="H1318" s="10">
        <f>(A1318-B1318-(D1318-1))/(A1318-(D1318-1))</f>
        <v/>
      </c>
      <c r="I1318" s="9">
        <f>A1318&amp;'x'&amp;B1318</f>
        <v/>
      </c>
      <c r="J1318" s="9">
        <f>IF(AND(G1318&gt;0.9,G1318&lt;1),"OK","CHECK")</f>
        <v/>
      </c>
    </row>
    <row r="1319">
      <c r="A1319" s="9" t="n">
        <v>49</v>
      </c>
      <c r="B1319" s="9" t="n">
        <v>5</v>
      </c>
      <c r="C1319" s="9" t="n">
        <v>44</v>
      </c>
      <c r="D1319" s="9" t="n">
        <v>44</v>
      </c>
      <c r="E1319" s="10">
        <f>COMBIN(A1319,D1319)/COMBIN(A1319-B1319,D1319)</f>
        <v/>
      </c>
      <c r="F1319" s="11">
        <f>ROUNDUP(E1319*Controls!$B$4,4)</f>
        <v/>
      </c>
      <c r="G1319" s="12">
        <f>F1319/E1319</f>
        <v/>
      </c>
      <c r="H1319" s="10">
        <f>(A1319-B1319-(D1319-1))/(A1319-(D1319-1))</f>
        <v/>
      </c>
      <c r="I1319" s="9">
        <f>A1319&amp;'x'&amp;B1319</f>
        <v/>
      </c>
      <c r="J1319" s="9">
        <f>IF(AND(G1319&gt;0.9,G1319&lt;1),"OK","CHECK")</f>
        <v/>
      </c>
    </row>
    <row r="1320">
      <c r="A1320" s="9" t="n">
        <v>49</v>
      </c>
      <c r="B1320" s="9" t="n">
        <v>6</v>
      </c>
      <c r="C1320" s="9" t="n">
        <v>43</v>
      </c>
      <c r="D1320" s="9" t="n">
        <v>1</v>
      </c>
      <c r="E1320" s="10">
        <f>COMBIN(A1320,D1320)/COMBIN(A1320-B1320,D1320)</f>
        <v/>
      </c>
      <c r="F1320" s="11">
        <f>ROUNDUP(E1320*Controls!$B$4,4)</f>
        <v/>
      </c>
      <c r="G1320" s="12">
        <f>F1320/E1320</f>
        <v/>
      </c>
      <c r="H1320" s="10">
        <f>(A1320-B1320-(D1320-1))/(A1320-(D1320-1))</f>
        <v/>
      </c>
      <c r="I1320" s="9">
        <f>A1320&amp;'x'&amp;B1320</f>
        <v/>
      </c>
      <c r="J1320" s="9">
        <f>IF(AND(G1320&gt;0.9,G1320&lt;1),"OK","CHECK")</f>
        <v/>
      </c>
    </row>
    <row r="1321">
      <c r="A1321" s="9" t="n">
        <v>49</v>
      </c>
      <c r="B1321" s="9" t="n">
        <v>6</v>
      </c>
      <c r="C1321" s="9" t="n">
        <v>43</v>
      </c>
      <c r="D1321" s="9" t="n">
        <v>2</v>
      </c>
      <c r="E1321" s="10">
        <f>COMBIN(A1321,D1321)/COMBIN(A1321-B1321,D1321)</f>
        <v/>
      </c>
      <c r="F1321" s="11">
        <f>ROUNDUP(E1321*Controls!$B$4,4)</f>
        <v/>
      </c>
      <c r="G1321" s="12">
        <f>F1321/E1321</f>
        <v/>
      </c>
      <c r="H1321" s="10">
        <f>(A1321-B1321-(D1321-1))/(A1321-(D1321-1))</f>
        <v/>
      </c>
      <c r="I1321" s="9">
        <f>A1321&amp;'x'&amp;B1321</f>
        <v/>
      </c>
      <c r="J1321" s="9">
        <f>IF(AND(G1321&gt;0.9,G1321&lt;1),"OK","CHECK")</f>
        <v/>
      </c>
    </row>
    <row r="1322">
      <c r="A1322" s="9" t="n">
        <v>49</v>
      </c>
      <c r="B1322" s="9" t="n">
        <v>6</v>
      </c>
      <c r="C1322" s="9" t="n">
        <v>43</v>
      </c>
      <c r="D1322" s="9" t="n">
        <v>3</v>
      </c>
      <c r="E1322" s="10">
        <f>COMBIN(A1322,D1322)/COMBIN(A1322-B1322,D1322)</f>
        <v/>
      </c>
      <c r="F1322" s="11">
        <f>ROUNDUP(E1322*Controls!$B$4,4)</f>
        <v/>
      </c>
      <c r="G1322" s="12">
        <f>F1322/E1322</f>
        <v/>
      </c>
      <c r="H1322" s="10">
        <f>(A1322-B1322-(D1322-1))/(A1322-(D1322-1))</f>
        <v/>
      </c>
      <c r="I1322" s="9">
        <f>A1322&amp;'x'&amp;B1322</f>
        <v/>
      </c>
      <c r="J1322" s="9">
        <f>IF(AND(G1322&gt;0.9,G1322&lt;1),"OK","CHECK")</f>
        <v/>
      </c>
    </row>
    <row r="1323">
      <c r="A1323" s="9" t="n">
        <v>49</v>
      </c>
      <c r="B1323" s="9" t="n">
        <v>6</v>
      </c>
      <c r="C1323" s="9" t="n">
        <v>43</v>
      </c>
      <c r="D1323" s="9" t="n">
        <v>4</v>
      </c>
      <c r="E1323" s="10">
        <f>COMBIN(A1323,D1323)/COMBIN(A1323-B1323,D1323)</f>
        <v/>
      </c>
      <c r="F1323" s="11">
        <f>ROUNDUP(E1323*Controls!$B$4,4)</f>
        <v/>
      </c>
      <c r="G1323" s="12">
        <f>F1323/E1323</f>
        <v/>
      </c>
      <c r="H1323" s="10">
        <f>(A1323-B1323-(D1323-1))/(A1323-(D1323-1))</f>
        <v/>
      </c>
      <c r="I1323" s="9">
        <f>A1323&amp;'x'&amp;B1323</f>
        <v/>
      </c>
      <c r="J1323" s="9">
        <f>IF(AND(G1323&gt;0.9,G1323&lt;1),"OK","CHECK")</f>
        <v/>
      </c>
    </row>
    <row r="1324">
      <c r="A1324" s="9" t="n">
        <v>49</v>
      </c>
      <c r="B1324" s="9" t="n">
        <v>6</v>
      </c>
      <c r="C1324" s="9" t="n">
        <v>43</v>
      </c>
      <c r="D1324" s="9" t="n">
        <v>5</v>
      </c>
      <c r="E1324" s="10">
        <f>COMBIN(A1324,D1324)/COMBIN(A1324-B1324,D1324)</f>
        <v/>
      </c>
      <c r="F1324" s="11">
        <f>ROUNDUP(E1324*Controls!$B$4,4)</f>
        <v/>
      </c>
      <c r="G1324" s="12">
        <f>F1324/E1324</f>
        <v/>
      </c>
      <c r="H1324" s="10">
        <f>(A1324-B1324-(D1324-1))/(A1324-(D1324-1))</f>
        <v/>
      </c>
      <c r="I1324" s="9">
        <f>A1324&amp;'x'&amp;B1324</f>
        <v/>
      </c>
      <c r="J1324" s="9">
        <f>IF(AND(G1324&gt;0.9,G1324&lt;1),"OK","CHECK")</f>
        <v/>
      </c>
    </row>
    <row r="1325">
      <c r="A1325" s="9" t="n">
        <v>49</v>
      </c>
      <c r="B1325" s="9" t="n">
        <v>6</v>
      </c>
      <c r="C1325" s="9" t="n">
        <v>43</v>
      </c>
      <c r="D1325" s="9" t="n">
        <v>6</v>
      </c>
      <c r="E1325" s="10">
        <f>COMBIN(A1325,D1325)/COMBIN(A1325-B1325,D1325)</f>
        <v/>
      </c>
      <c r="F1325" s="11">
        <f>ROUNDUP(E1325*Controls!$B$4,4)</f>
        <v/>
      </c>
      <c r="G1325" s="12">
        <f>F1325/E1325</f>
        <v/>
      </c>
      <c r="H1325" s="10">
        <f>(A1325-B1325-(D1325-1))/(A1325-(D1325-1))</f>
        <v/>
      </c>
      <c r="I1325" s="9">
        <f>A1325&amp;'x'&amp;B1325</f>
        <v/>
      </c>
      <c r="J1325" s="9">
        <f>IF(AND(G1325&gt;0.9,G1325&lt;1),"OK","CHECK")</f>
        <v/>
      </c>
    </row>
    <row r="1326">
      <c r="A1326" s="9" t="n">
        <v>49</v>
      </c>
      <c r="B1326" s="9" t="n">
        <v>6</v>
      </c>
      <c r="C1326" s="9" t="n">
        <v>43</v>
      </c>
      <c r="D1326" s="9" t="n">
        <v>7</v>
      </c>
      <c r="E1326" s="10">
        <f>COMBIN(A1326,D1326)/COMBIN(A1326-B1326,D1326)</f>
        <v/>
      </c>
      <c r="F1326" s="11">
        <f>ROUNDUP(E1326*Controls!$B$4,4)</f>
        <v/>
      </c>
      <c r="G1326" s="12">
        <f>F1326/E1326</f>
        <v/>
      </c>
      <c r="H1326" s="10">
        <f>(A1326-B1326-(D1326-1))/(A1326-(D1326-1))</f>
        <v/>
      </c>
      <c r="I1326" s="9">
        <f>A1326&amp;'x'&amp;B1326</f>
        <v/>
      </c>
      <c r="J1326" s="9">
        <f>IF(AND(G1326&gt;0.9,G1326&lt;1),"OK","CHECK")</f>
        <v/>
      </c>
    </row>
    <row r="1327">
      <c r="A1327" s="9" t="n">
        <v>49</v>
      </c>
      <c r="B1327" s="9" t="n">
        <v>6</v>
      </c>
      <c r="C1327" s="9" t="n">
        <v>43</v>
      </c>
      <c r="D1327" s="9" t="n">
        <v>8</v>
      </c>
      <c r="E1327" s="10">
        <f>COMBIN(A1327,D1327)/COMBIN(A1327-B1327,D1327)</f>
        <v/>
      </c>
      <c r="F1327" s="11">
        <f>ROUNDUP(E1327*Controls!$B$4,4)</f>
        <v/>
      </c>
      <c r="G1327" s="12">
        <f>F1327/E1327</f>
        <v/>
      </c>
      <c r="H1327" s="10">
        <f>(A1327-B1327-(D1327-1))/(A1327-(D1327-1))</f>
        <v/>
      </c>
      <c r="I1327" s="9">
        <f>A1327&amp;'x'&amp;B1327</f>
        <v/>
      </c>
      <c r="J1327" s="9">
        <f>IF(AND(G1327&gt;0.9,G1327&lt;1),"OK","CHECK")</f>
        <v/>
      </c>
    </row>
    <row r="1328">
      <c r="A1328" s="9" t="n">
        <v>49</v>
      </c>
      <c r="B1328" s="9" t="n">
        <v>6</v>
      </c>
      <c r="C1328" s="9" t="n">
        <v>43</v>
      </c>
      <c r="D1328" s="9" t="n">
        <v>9</v>
      </c>
      <c r="E1328" s="10">
        <f>COMBIN(A1328,D1328)/COMBIN(A1328-B1328,D1328)</f>
        <v/>
      </c>
      <c r="F1328" s="11">
        <f>ROUNDUP(E1328*Controls!$B$4,4)</f>
        <v/>
      </c>
      <c r="G1328" s="12">
        <f>F1328/E1328</f>
        <v/>
      </c>
      <c r="H1328" s="10">
        <f>(A1328-B1328-(D1328-1))/(A1328-(D1328-1))</f>
        <v/>
      </c>
      <c r="I1328" s="9">
        <f>A1328&amp;'x'&amp;B1328</f>
        <v/>
      </c>
      <c r="J1328" s="9">
        <f>IF(AND(G1328&gt;0.9,G1328&lt;1),"OK","CHECK")</f>
        <v/>
      </c>
    </row>
    <row r="1329">
      <c r="A1329" s="9" t="n">
        <v>49</v>
      </c>
      <c r="B1329" s="9" t="n">
        <v>6</v>
      </c>
      <c r="C1329" s="9" t="n">
        <v>43</v>
      </c>
      <c r="D1329" s="9" t="n">
        <v>10</v>
      </c>
      <c r="E1329" s="10">
        <f>COMBIN(A1329,D1329)/COMBIN(A1329-B1329,D1329)</f>
        <v/>
      </c>
      <c r="F1329" s="11">
        <f>ROUNDUP(E1329*Controls!$B$4,4)</f>
        <v/>
      </c>
      <c r="G1329" s="12">
        <f>F1329/E1329</f>
        <v/>
      </c>
      <c r="H1329" s="10">
        <f>(A1329-B1329-(D1329-1))/(A1329-(D1329-1))</f>
        <v/>
      </c>
      <c r="I1329" s="9">
        <f>A1329&amp;'x'&amp;B1329</f>
        <v/>
      </c>
      <c r="J1329" s="9">
        <f>IF(AND(G1329&gt;0.9,G1329&lt;1),"OK","CHECK")</f>
        <v/>
      </c>
    </row>
    <row r="1330">
      <c r="A1330" s="9" t="n">
        <v>49</v>
      </c>
      <c r="B1330" s="9" t="n">
        <v>6</v>
      </c>
      <c r="C1330" s="9" t="n">
        <v>43</v>
      </c>
      <c r="D1330" s="9" t="n">
        <v>11</v>
      </c>
      <c r="E1330" s="10">
        <f>COMBIN(A1330,D1330)/COMBIN(A1330-B1330,D1330)</f>
        <v/>
      </c>
      <c r="F1330" s="11">
        <f>ROUNDUP(E1330*Controls!$B$4,4)</f>
        <v/>
      </c>
      <c r="G1330" s="12">
        <f>F1330/E1330</f>
        <v/>
      </c>
      <c r="H1330" s="10">
        <f>(A1330-B1330-(D1330-1))/(A1330-(D1330-1))</f>
        <v/>
      </c>
      <c r="I1330" s="9">
        <f>A1330&amp;'x'&amp;B1330</f>
        <v/>
      </c>
      <c r="J1330" s="9">
        <f>IF(AND(G1330&gt;0.9,G1330&lt;1),"OK","CHECK")</f>
        <v/>
      </c>
    </row>
    <row r="1331">
      <c r="A1331" s="9" t="n">
        <v>49</v>
      </c>
      <c r="B1331" s="9" t="n">
        <v>6</v>
      </c>
      <c r="C1331" s="9" t="n">
        <v>43</v>
      </c>
      <c r="D1331" s="9" t="n">
        <v>12</v>
      </c>
      <c r="E1331" s="10">
        <f>COMBIN(A1331,D1331)/COMBIN(A1331-B1331,D1331)</f>
        <v/>
      </c>
      <c r="F1331" s="11">
        <f>ROUNDUP(E1331*Controls!$B$4,4)</f>
        <v/>
      </c>
      <c r="G1331" s="12">
        <f>F1331/E1331</f>
        <v/>
      </c>
      <c r="H1331" s="10">
        <f>(A1331-B1331-(D1331-1))/(A1331-(D1331-1))</f>
        <v/>
      </c>
      <c r="I1331" s="9">
        <f>A1331&amp;'x'&amp;B1331</f>
        <v/>
      </c>
      <c r="J1331" s="9">
        <f>IF(AND(G1331&gt;0.9,G1331&lt;1),"OK","CHECK")</f>
        <v/>
      </c>
    </row>
    <row r="1332">
      <c r="A1332" s="9" t="n">
        <v>49</v>
      </c>
      <c r="B1332" s="9" t="n">
        <v>6</v>
      </c>
      <c r="C1332" s="9" t="n">
        <v>43</v>
      </c>
      <c r="D1332" s="9" t="n">
        <v>13</v>
      </c>
      <c r="E1332" s="10">
        <f>COMBIN(A1332,D1332)/COMBIN(A1332-B1332,D1332)</f>
        <v/>
      </c>
      <c r="F1332" s="11">
        <f>ROUNDUP(E1332*Controls!$B$4,4)</f>
        <v/>
      </c>
      <c r="G1332" s="12">
        <f>F1332/E1332</f>
        <v/>
      </c>
      <c r="H1332" s="10">
        <f>(A1332-B1332-(D1332-1))/(A1332-(D1332-1))</f>
        <v/>
      </c>
      <c r="I1332" s="9">
        <f>A1332&amp;'x'&amp;B1332</f>
        <v/>
      </c>
      <c r="J1332" s="9">
        <f>IF(AND(G1332&gt;0.9,G1332&lt;1),"OK","CHECK")</f>
        <v/>
      </c>
    </row>
    <row r="1333">
      <c r="A1333" s="9" t="n">
        <v>49</v>
      </c>
      <c r="B1333" s="9" t="n">
        <v>6</v>
      </c>
      <c r="C1333" s="9" t="n">
        <v>43</v>
      </c>
      <c r="D1333" s="9" t="n">
        <v>14</v>
      </c>
      <c r="E1333" s="10">
        <f>COMBIN(A1333,D1333)/COMBIN(A1333-B1333,D1333)</f>
        <v/>
      </c>
      <c r="F1333" s="11">
        <f>ROUNDUP(E1333*Controls!$B$4,4)</f>
        <v/>
      </c>
      <c r="G1333" s="12">
        <f>F1333/E1333</f>
        <v/>
      </c>
      <c r="H1333" s="10">
        <f>(A1333-B1333-(D1333-1))/(A1333-(D1333-1))</f>
        <v/>
      </c>
      <c r="I1333" s="9">
        <f>A1333&amp;'x'&amp;B1333</f>
        <v/>
      </c>
      <c r="J1333" s="9">
        <f>IF(AND(G1333&gt;0.9,G1333&lt;1),"OK","CHECK")</f>
        <v/>
      </c>
    </row>
    <row r="1334">
      <c r="A1334" s="9" t="n">
        <v>49</v>
      </c>
      <c r="B1334" s="9" t="n">
        <v>6</v>
      </c>
      <c r="C1334" s="9" t="n">
        <v>43</v>
      </c>
      <c r="D1334" s="9" t="n">
        <v>15</v>
      </c>
      <c r="E1334" s="10">
        <f>COMBIN(A1334,D1334)/COMBIN(A1334-B1334,D1334)</f>
        <v/>
      </c>
      <c r="F1334" s="11">
        <f>ROUNDUP(E1334*Controls!$B$4,4)</f>
        <v/>
      </c>
      <c r="G1334" s="12">
        <f>F1334/E1334</f>
        <v/>
      </c>
      <c r="H1334" s="10">
        <f>(A1334-B1334-(D1334-1))/(A1334-(D1334-1))</f>
        <v/>
      </c>
      <c r="I1334" s="9">
        <f>A1334&amp;'x'&amp;B1334</f>
        <v/>
      </c>
      <c r="J1334" s="9">
        <f>IF(AND(G1334&gt;0.9,G1334&lt;1),"OK","CHECK")</f>
        <v/>
      </c>
    </row>
    <row r="1335">
      <c r="A1335" s="9" t="n">
        <v>49</v>
      </c>
      <c r="B1335" s="9" t="n">
        <v>6</v>
      </c>
      <c r="C1335" s="9" t="n">
        <v>43</v>
      </c>
      <c r="D1335" s="9" t="n">
        <v>16</v>
      </c>
      <c r="E1335" s="10">
        <f>COMBIN(A1335,D1335)/COMBIN(A1335-B1335,D1335)</f>
        <v/>
      </c>
      <c r="F1335" s="11">
        <f>ROUNDUP(E1335*Controls!$B$4,4)</f>
        <v/>
      </c>
      <c r="G1335" s="12">
        <f>F1335/E1335</f>
        <v/>
      </c>
      <c r="H1335" s="10">
        <f>(A1335-B1335-(D1335-1))/(A1335-(D1335-1))</f>
        <v/>
      </c>
      <c r="I1335" s="9">
        <f>A1335&amp;'x'&amp;B1335</f>
        <v/>
      </c>
      <c r="J1335" s="9">
        <f>IF(AND(G1335&gt;0.9,G1335&lt;1),"OK","CHECK")</f>
        <v/>
      </c>
    </row>
    <row r="1336">
      <c r="A1336" s="9" t="n">
        <v>49</v>
      </c>
      <c r="B1336" s="9" t="n">
        <v>6</v>
      </c>
      <c r="C1336" s="9" t="n">
        <v>43</v>
      </c>
      <c r="D1336" s="9" t="n">
        <v>17</v>
      </c>
      <c r="E1336" s="10">
        <f>COMBIN(A1336,D1336)/COMBIN(A1336-B1336,D1336)</f>
        <v/>
      </c>
      <c r="F1336" s="11">
        <f>ROUNDUP(E1336*Controls!$B$4,4)</f>
        <v/>
      </c>
      <c r="G1336" s="12">
        <f>F1336/E1336</f>
        <v/>
      </c>
      <c r="H1336" s="10">
        <f>(A1336-B1336-(D1336-1))/(A1336-(D1336-1))</f>
        <v/>
      </c>
      <c r="I1336" s="9">
        <f>A1336&amp;'x'&amp;B1336</f>
        <v/>
      </c>
      <c r="J1336" s="9">
        <f>IF(AND(G1336&gt;0.9,G1336&lt;1),"OK","CHECK")</f>
        <v/>
      </c>
    </row>
    <row r="1337">
      <c r="A1337" s="9" t="n">
        <v>49</v>
      </c>
      <c r="B1337" s="9" t="n">
        <v>6</v>
      </c>
      <c r="C1337" s="9" t="n">
        <v>43</v>
      </c>
      <c r="D1337" s="9" t="n">
        <v>18</v>
      </c>
      <c r="E1337" s="10">
        <f>COMBIN(A1337,D1337)/COMBIN(A1337-B1337,D1337)</f>
        <v/>
      </c>
      <c r="F1337" s="11">
        <f>ROUNDUP(E1337*Controls!$B$4,4)</f>
        <v/>
      </c>
      <c r="G1337" s="12">
        <f>F1337/E1337</f>
        <v/>
      </c>
      <c r="H1337" s="10">
        <f>(A1337-B1337-(D1337-1))/(A1337-(D1337-1))</f>
        <v/>
      </c>
      <c r="I1337" s="9">
        <f>A1337&amp;'x'&amp;B1337</f>
        <v/>
      </c>
      <c r="J1337" s="9">
        <f>IF(AND(G1337&gt;0.9,G1337&lt;1),"OK","CHECK")</f>
        <v/>
      </c>
    </row>
    <row r="1338">
      <c r="A1338" s="9" t="n">
        <v>49</v>
      </c>
      <c r="B1338" s="9" t="n">
        <v>6</v>
      </c>
      <c r="C1338" s="9" t="n">
        <v>43</v>
      </c>
      <c r="D1338" s="9" t="n">
        <v>19</v>
      </c>
      <c r="E1338" s="10">
        <f>COMBIN(A1338,D1338)/COMBIN(A1338-B1338,D1338)</f>
        <v/>
      </c>
      <c r="F1338" s="11">
        <f>ROUNDUP(E1338*Controls!$B$4,4)</f>
        <v/>
      </c>
      <c r="G1338" s="12">
        <f>F1338/E1338</f>
        <v/>
      </c>
      <c r="H1338" s="10">
        <f>(A1338-B1338-(D1338-1))/(A1338-(D1338-1))</f>
        <v/>
      </c>
      <c r="I1338" s="9">
        <f>A1338&amp;'x'&amp;B1338</f>
        <v/>
      </c>
      <c r="J1338" s="9">
        <f>IF(AND(G1338&gt;0.9,G1338&lt;1),"OK","CHECK")</f>
        <v/>
      </c>
    </row>
    <row r="1339">
      <c r="A1339" s="9" t="n">
        <v>49</v>
      </c>
      <c r="B1339" s="9" t="n">
        <v>6</v>
      </c>
      <c r="C1339" s="9" t="n">
        <v>43</v>
      </c>
      <c r="D1339" s="9" t="n">
        <v>20</v>
      </c>
      <c r="E1339" s="10">
        <f>COMBIN(A1339,D1339)/COMBIN(A1339-B1339,D1339)</f>
        <v/>
      </c>
      <c r="F1339" s="11">
        <f>ROUNDUP(E1339*Controls!$B$4,4)</f>
        <v/>
      </c>
      <c r="G1339" s="12">
        <f>F1339/E1339</f>
        <v/>
      </c>
      <c r="H1339" s="10">
        <f>(A1339-B1339-(D1339-1))/(A1339-(D1339-1))</f>
        <v/>
      </c>
      <c r="I1339" s="9">
        <f>A1339&amp;'x'&amp;B1339</f>
        <v/>
      </c>
      <c r="J1339" s="9">
        <f>IF(AND(G1339&gt;0.9,G1339&lt;1),"OK","CHECK")</f>
        <v/>
      </c>
    </row>
    <row r="1340">
      <c r="A1340" s="9" t="n">
        <v>49</v>
      </c>
      <c r="B1340" s="9" t="n">
        <v>6</v>
      </c>
      <c r="C1340" s="9" t="n">
        <v>43</v>
      </c>
      <c r="D1340" s="9" t="n">
        <v>21</v>
      </c>
      <c r="E1340" s="10">
        <f>COMBIN(A1340,D1340)/COMBIN(A1340-B1340,D1340)</f>
        <v/>
      </c>
      <c r="F1340" s="11">
        <f>ROUNDUP(E1340*Controls!$B$4,4)</f>
        <v/>
      </c>
      <c r="G1340" s="12">
        <f>F1340/E1340</f>
        <v/>
      </c>
      <c r="H1340" s="10">
        <f>(A1340-B1340-(D1340-1))/(A1340-(D1340-1))</f>
        <v/>
      </c>
      <c r="I1340" s="9">
        <f>A1340&amp;'x'&amp;B1340</f>
        <v/>
      </c>
      <c r="J1340" s="9">
        <f>IF(AND(G1340&gt;0.9,G1340&lt;1),"OK","CHECK")</f>
        <v/>
      </c>
    </row>
    <row r="1341">
      <c r="A1341" s="9" t="n">
        <v>49</v>
      </c>
      <c r="B1341" s="9" t="n">
        <v>6</v>
      </c>
      <c r="C1341" s="9" t="n">
        <v>43</v>
      </c>
      <c r="D1341" s="9" t="n">
        <v>22</v>
      </c>
      <c r="E1341" s="10">
        <f>COMBIN(A1341,D1341)/COMBIN(A1341-B1341,D1341)</f>
        <v/>
      </c>
      <c r="F1341" s="11">
        <f>ROUNDUP(E1341*Controls!$B$4,4)</f>
        <v/>
      </c>
      <c r="G1341" s="12">
        <f>F1341/E1341</f>
        <v/>
      </c>
      <c r="H1341" s="10">
        <f>(A1341-B1341-(D1341-1))/(A1341-(D1341-1))</f>
        <v/>
      </c>
      <c r="I1341" s="9">
        <f>A1341&amp;'x'&amp;B1341</f>
        <v/>
      </c>
      <c r="J1341" s="9">
        <f>IF(AND(G1341&gt;0.9,G1341&lt;1),"OK","CHECK")</f>
        <v/>
      </c>
    </row>
    <row r="1342">
      <c r="A1342" s="9" t="n">
        <v>49</v>
      </c>
      <c r="B1342" s="9" t="n">
        <v>6</v>
      </c>
      <c r="C1342" s="9" t="n">
        <v>43</v>
      </c>
      <c r="D1342" s="9" t="n">
        <v>23</v>
      </c>
      <c r="E1342" s="10">
        <f>COMBIN(A1342,D1342)/COMBIN(A1342-B1342,D1342)</f>
        <v/>
      </c>
      <c r="F1342" s="11">
        <f>ROUNDUP(E1342*Controls!$B$4,4)</f>
        <v/>
      </c>
      <c r="G1342" s="12">
        <f>F1342/E1342</f>
        <v/>
      </c>
      <c r="H1342" s="10">
        <f>(A1342-B1342-(D1342-1))/(A1342-(D1342-1))</f>
        <v/>
      </c>
      <c r="I1342" s="9">
        <f>A1342&amp;'x'&amp;B1342</f>
        <v/>
      </c>
      <c r="J1342" s="9">
        <f>IF(AND(G1342&gt;0.9,G1342&lt;1),"OK","CHECK")</f>
        <v/>
      </c>
    </row>
    <row r="1343">
      <c r="A1343" s="9" t="n">
        <v>49</v>
      </c>
      <c r="B1343" s="9" t="n">
        <v>6</v>
      </c>
      <c r="C1343" s="9" t="n">
        <v>43</v>
      </c>
      <c r="D1343" s="9" t="n">
        <v>24</v>
      </c>
      <c r="E1343" s="10">
        <f>COMBIN(A1343,D1343)/COMBIN(A1343-B1343,D1343)</f>
        <v/>
      </c>
      <c r="F1343" s="11">
        <f>ROUNDUP(E1343*Controls!$B$4,4)</f>
        <v/>
      </c>
      <c r="G1343" s="12">
        <f>F1343/E1343</f>
        <v/>
      </c>
      <c r="H1343" s="10">
        <f>(A1343-B1343-(D1343-1))/(A1343-(D1343-1))</f>
        <v/>
      </c>
      <c r="I1343" s="9">
        <f>A1343&amp;'x'&amp;B1343</f>
        <v/>
      </c>
      <c r="J1343" s="9">
        <f>IF(AND(G1343&gt;0.9,G1343&lt;1),"OK","CHECK")</f>
        <v/>
      </c>
    </row>
    <row r="1344">
      <c r="A1344" s="9" t="n">
        <v>49</v>
      </c>
      <c r="B1344" s="9" t="n">
        <v>6</v>
      </c>
      <c r="C1344" s="9" t="n">
        <v>43</v>
      </c>
      <c r="D1344" s="9" t="n">
        <v>25</v>
      </c>
      <c r="E1344" s="10">
        <f>COMBIN(A1344,D1344)/COMBIN(A1344-B1344,D1344)</f>
        <v/>
      </c>
      <c r="F1344" s="11">
        <f>ROUNDUP(E1344*Controls!$B$4,4)</f>
        <v/>
      </c>
      <c r="G1344" s="12">
        <f>F1344/E1344</f>
        <v/>
      </c>
      <c r="H1344" s="10">
        <f>(A1344-B1344-(D1344-1))/(A1344-(D1344-1))</f>
        <v/>
      </c>
      <c r="I1344" s="9">
        <f>A1344&amp;'x'&amp;B1344</f>
        <v/>
      </c>
      <c r="J1344" s="9">
        <f>IF(AND(G1344&gt;0.9,G1344&lt;1),"OK","CHECK")</f>
        <v/>
      </c>
    </row>
    <row r="1345">
      <c r="A1345" s="9" t="n">
        <v>49</v>
      </c>
      <c r="B1345" s="9" t="n">
        <v>6</v>
      </c>
      <c r="C1345" s="9" t="n">
        <v>43</v>
      </c>
      <c r="D1345" s="9" t="n">
        <v>26</v>
      </c>
      <c r="E1345" s="10">
        <f>COMBIN(A1345,D1345)/COMBIN(A1345-B1345,D1345)</f>
        <v/>
      </c>
      <c r="F1345" s="11">
        <f>ROUNDUP(E1345*Controls!$B$4,4)</f>
        <v/>
      </c>
      <c r="G1345" s="12">
        <f>F1345/E1345</f>
        <v/>
      </c>
      <c r="H1345" s="10">
        <f>(A1345-B1345-(D1345-1))/(A1345-(D1345-1))</f>
        <v/>
      </c>
      <c r="I1345" s="9">
        <f>A1345&amp;'x'&amp;B1345</f>
        <v/>
      </c>
      <c r="J1345" s="9">
        <f>IF(AND(G1345&gt;0.9,G1345&lt;1),"OK","CHECK")</f>
        <v/>
      </c>
    </row>
    <row r="1346">
      <c r="A1346" s="9" t="n">
        <v>49</v>
      </c>
      <c r="B1346" s="9" t="n">
        <v>6</v>
      </c>
      <c r="C1346" s="9" t="n">
        <v>43</v>
      </c>
      <c r="D1346" s="9" t="n">
        <v>27</v>
      </c>
      <c r="E1346" s="10">
        <f>COMBIN(A1346,D1346)/COMBIN(A1346-B1346,D1346)</f>
        <v/>
      </c>
      <c r="F1346" s="11">
        <f>ROUNDUP(E1346*Controls!$B$4,4)</f>
        <v/>
      </c>
      <c r="G1346" s="12">
        <f>F1346/E1346</f>
        <v/>
      </c>
      <c r="H1346" s="10">
        <f>(A1346-B1346-(D1346-1))/(A1346-(D1346-1))</f>
        <v/>
      </c>
      <c r="I1346" s="9">
        <f>A1346&amp;'x'&amp;B1346</f>
        <v/>
      </c>
      <c r="J1346" s="9">
        <f>IF(AND(G1346&gt;0.9,G1346&lt;1),"OK","CHECK")</f>
        <v/>
      </c>
    </row>
    <row r="1347">
      <c r="A1347" s="9" t="n">
        <v>49</v>
      </c>
      <c r="B1347" s="9" t="n">
        <v>6</v>
      </c>
      <c r="C1347" s="9" t="n">
        <v>43</v>
      </c>
      <c r="D1347" s="9" t="n">
        <v>28</v>
      </c>
      <c r="E1347" s="10">
        <f>COMBIN(A1347,D1347)/COMBIN(A1347-B1347,D1347)</f>
        <v/>
      </c>
      <c r="F1347" s="11">
        <f>ROUNDUP(E1347*Controls!$B$4,4)</f>
        <v/>
      </c>
      <c r="G1347" s="12">
        <f>F1347/E1347</f>
        <v/>
      </c>
      <c r="H1347" s="10">
        <f>(A1347-B1347-(D1347-1))/(A1347-(D1347-1))</f>
        <v/>
      </c>
      <c r="I1347" s="9">
        <f>A1347&amp;'x'&amp;B1347</f>
        <v/>
      </c>
      <c r="J1347" s="9">
        <f>IF(AND(G1347&gt;0.9,G1347&lt;1),"OK","CHECK")</f>
        <v/>
      </c>
    </row>
    <row r="1348">
      <c r="A1348" s="9" t="n">
        <v>49</v>
      </c>
      <c r="B1348" s="9" t="n">
        <v>6</v>
      </c>
      <c r="C1348" s="9" t="n">
        <v>43</v>
      </c>
      <c r="D1348" s="9" t="n">
        <v>29</v>
      </c>
      <c r="E1348" s="10">
        <f>COMBIN(A1348,D1348)/COMBIN(A1348-B1348,D1348)</f>
        <v/>
      </c>
      <c r="F1348" s="11">
        <f>ROUNDUP(E1348*Controls!$B$4,4)</f>
        <v/>
      </c>
      <c r="G1348" s="12">
        <f>F1348/E1348</f>
        <v/>
      </c>
      <c r="H1348" s="10">
        <f>(A1348-B1348-(D1348-1))/(A1348-(D1348-1))</f>
        <v/>
      </c>
      <c r="I1348" s="9">
        <f>A1348&amp;'x'&amp;B1348</f>
        <v/>
      </c>
      <c r="J1348" s="9">
        <f>IF(AND(G1348&gt;0.9,G1348&lt;1),"OK","CHECK")</f>
        <v/>
      </c>
    </row>
    <row r="1349">
      <c r="A1349" s="9" t="n">
        <v>49</v>
      </c>
      <c r="B1349" s="9" t="n">
        <v>6</v>
      </c>
      <c r="C1349" s="9" t="n">
        <v>43</v>
      </c>
      <c r="D1349" s="9" t="n">
        <v>30</v>
      </c>
      <c r="E1349" s="10">
        <f>COMBIN(A1349,D1349)/COMBIN(A1349-B1349,D1349)</f>
        <v/>
      </c>
      <c r="F1349" s="11">
        <f>ROUNDUP(E1349*Controls!$B$4,4)</f>
        <v/>
      </c>
      <c r="G1349" s="12">
        <f>F1349/E1349</f>
        <v/>
      </c>
      <c r="H1349" s="10">
        <f>(A1349-B1349-(D1349-1))/(A1349-(D1349-1))</f>
        <v/>
      </c>
      <c r="I1349" s="9">
        <f>A1349&amp;'x'&amp;B1349</f>
        <v/>
      </c>
      <c r="J1349" s="9">
        <f>IF(AND(G1349&gt;0.9,G1349&lt;1),"OK","CHECK")</f>
        <v/>
      </c>
    </row>
    <row r="1350">
      <c r="A1350" s="9" t="n">
        <v>49</v>
      </c>
      <c r="B1350" s="9" t="n">
        <v>6</v>
      </c>
      <c r="C1350" s="9" t="n">
        <v>43</v>
      </c>
      <c r="D1350" s="9" t="n">
        <v>31</v>
      </c>
      <c r="E1350" s="10">
        <f>COMBIN(A1350,D1350)/COMBIN(A1350-B1350,D1350)</f>
        <v/>
      </c>
      <c r="F1350" s="11">
        <f>ROUNDUP(E1350*Controls!$B$4,4)</f>
        <v/>
      </c>
      <c r="G1350" s="12">
        <f>F1350/E1350</f>
        <v/>
      </c>
      <c r="H1350" s="10">
        <f>(A1350-B1350-(D1350-1))/(A1350-(D1350-1))</f>
        <v/>
      </c>
      <c r="I1350" s="9">
        <f>A1350&amp;'x'&amp;B1350</f>
        <v/>
      </c>
      <c r="J1350" s="9">
        <f>IF(AND(G1350&gt;0.9,G1350&lt;1),"OK","CHECK")</f>
        <v/>
      </c>
    </row>
    <row r="1351">
      <c r="A1351" s="9" t="n">
        <v>49</v>
      </c>
      <c r="B1351" s="9" t="n">
        <v>6</v>
      </c>
      <c r="C1351" s="9" t="n">
        <v>43</v>
      </c>
      <c r="D1351" s="9" t="n">
        <v>32</v>
      </c>
      <c r="E1351" s="10">
        <f>COMBIN(A1351,D1351)/COMBIN(A1351-B1351,D1351)</f>
        <v/>
      </c>
      <c r="F1351" s="11">
        <f>ROUNDUP(E1351*Controls!$B$4,4)</f>
        <v/>
      </c>
      <c r="G1351" s="12">
        <f>F1351/E1351</f>
        <v/>
      </c>
      <c r="H1351" s="10">
        <f>(A1351-B1351-(D1351-1))/(A1351-(D1351-1))</f>
        <v/>
      </c>
      <c r="I1351" s="9">
        <f>A1351&amp;'x'&amp;B1351</f>
        <v/>
      </c>
      <c r="J1351" s="9">
        <f>IF(AND(G1351&gt;0.9,G1351&lt;1),"OK","CHECK")</f>
        <v/>
      </c>
    </row>
    <row r="1352">
      <c r="A1352" s="9" t="n">
        <v>49</v>
      </c>
      <c r="B1352" s="9" t="n">
        <v>6</v>
      </c>
      <c r="C1352" s="9" t="n">
        <v>43</v>
      </c>
      <c r="D1352" s="9" t="n">
        <v>33</v>
      </c>
      <c r="E1352" s="10">
        <f>COMBIN(A1352,D1352)/COMBIN(A1352-B1352,D1352)</f>
        <v/>
      </c>
      <c r="F1352" s="11">
        <f>ROUNDUP(E1352*Controls!$B$4,4)</f>
        <v/>
      </c>
      <c r="G1352" s="12">
        <f>F1352/E1352</f>
        <v/>
      </c>
      <c r="H1352" s="10">
        <f>(A1352-B1352-(D1352-1))/(A1352-(D1352-1))</f>
        <v/>
      </c>
      <c r="I1352" s="9">
        <f>A1352&amp;'x'&amp;B1352</f>
        <v/>
      </c>
      <c r="J1352" s="9">
        <f>IF(AND(G1352&gt;0.9,G1352&lt;1),"OK","CHECK")</f>
        <v/>
      </c>
    </row>
    <row r="1353">
      <c r="A1353" s="9" t="n">
        <v>49</v>
      </c>
      <c r="B1353" s="9" t="n">
        <v>6</v>
      </c>
      <c r="C1353" s="9" t="n">
        <v>43</v>
      </c>
      <c r="D1353" s="9" t="n">
        <v>34</v>
      </c>
      <c r="E1353" s="10">
        <f>COMBIN(A1353,D1353)/COMBIN(A1353-B1353,D1353)</f>
        <v/>
      </c>
      <c r="F1353" s="11">
        <f>ROUNDUP(E1353*Controls!$B$4,4)</f>
        <v/>
      </c>
      <c r="G1353" s="12">
        <f>F1353/E1353</f>
        <v/>
      </c>
      <c r="H1353" s="10">
        <f>(A1353-B1353-(D1353-1))/(A1353-(D1353-1))</f>
        <v/>
      </c>
      <c r="I1353" s="9">
        <f>A1353&amp;'x'&amp;B1353</f>
        <v/>
      </c>
      <c r="J1353" s="9">
        <f>IF(AND(G1353&gt;0.9,G1353&lt;1),"OK","CHECK")</f>
        <v/>
      </c>
    </row>
    <row r="1354">
      <c r="A1354" s="9" t="n">
        <v>49</v>
      </c>
      <c r="B1354" s="9" t="n">
        <v>6</v>
      </c>
      <c r="C1354" s="9" t="n">
        <v>43</v>
      </c>
      <c r="D1354" s="9" t="n">
        <v>35</v>
      </c>
      <c r="E1354" s="10">
        <f>COMBIN(A1354,D1354)/COMBIN(A1354-B1354,D1354)</f>
        <v/>
      </c>
      <c r="F1354" s="11">
        <f>ROUNDUP(E1354*Controls!$B$4,4)</f>
        <v/>
      </c>
      <c r="G1354" s="12">
        <f>F1354/E1354</f>
        <v/>
      </c>
      <c r="H1354" s="10">
        <f>(A1354-B1354-(D1354-1))/(A1354-(D1354-1))</f>
        <v/>
      </c>
      <c r="I1354" s="9">
        <f>A1354&amp;'x'&amp;B1354</f>
        <v/>
      </c>
      <c r="J1354" s="9">
        <f>IF(AND(G1354&gt;0.9,G1354&lt;1),"OK","CHECK")</f>
        <v/>
      </c>
    </row>
    <row r="1355">
      <c r="A1355" s="9" t="n">
        <v>49</v>
      </c>
      <c r="B1355" s="9" t="n">
        <v>6</v>
      </c>
      <c r="C1355" s="9" t="n">
        <v>43</v>
      </c>
      <c r="D1355" s="9" t="n">
        <v>36</v>
      </c>
      <c r="E1355" s="10">
        <f>COMBIN(A1355,D1355)/COMBIN(A1355-B1355,D1355)</f>
        <v/>
      </c>
      <c r="F1355" s="11">
        <f>ROUNDUP(E1355*Controls!$B$4,4)</f>
        <v/>
      </c>
      <c r="G1355" s="12">
        <f>F1355/E1355</f>
        <v/>
      </c>
      <c r="H1355" s="10">
        <f>(A1355-B1355-(D1355-1))/(A1355-(D1355-1))</f>
        <v/>
      </c>
      <c r="I1355" s="9">
        <f>A1355&amp;'x'&amp;B1355</f>
        <v/>
      </c>
      <c r="J1355" s="9">
        <f>IF(AND(G1355&gt;0.9,G1355&lt;1),"OK","CHECK")</f>
        <v/>
      </c>
    </row>
    <row r="1356">
      <c r="A1356" s="9" t="n">
        <v>49</v>
      </c>
      <c r="B1356" s="9" t="n">
        <v>6</v>
      </c>
      <c r="C1356" s="9" t="n">
        <v>43</v>
      </c>
      <c r="D1356" s="9" t="n">
        <v>37</v>
      </c>
      <c r="E1356" s="10">
        <f>COMBIN(A1356,D1356)/COMBIN(A1356-B1356,D1356)</f>
        <v/>
      </c>
      <c r="F1356" s="11">
        <f>ROUNDUP(E1356*Controls!$B$4,4)</f>
        <v/>
      </c>
      <c r="G1356" s="12">
        <f>F1356/E1356</f>
        <v/>
      </c>
      <c r="H1356" s="10">
        <f>(A1356-B1356-(D1356-1))/(A1356-(D1356-1))</f>
        <v/>
      </c>
      <c r="I1356" s="9">
        <f>A1356&amp;'x'&amp;B1356</f>
        <v/>
      </c>
      <c r="J1356" s="9">
        <f>IF(AND(G1356&gt;0.9,G1356&lt;1),"OK","CHECK")</f>
        <v/>
      </c>
    </row>
    <row r="1357">
      <c r="A1357" s="9" t="n">
        <v>49</v>
      </c>
      <c r="B1357" s="9" t="n">
        <v>6</v>
      </c>
      <c r="C1357" s="9" t="n">
        <v>43</v>
      </c>
      <c r="D1357" s="9" t="n">
        <v>38</v>
      </c>
      <c r="E1357" s="10">
        <f>COMBIN(A1357,D1357)/COMBIN(A1357-B1357,D1357)</f>
        <v/>
      </c>
      <c r="F1357" s="11">
        <f>ROUNDUP(E1357*Controls!$B$4,4)</f>
        <v/>
      </c>
      <c r="G1357" s="12">
        <f>F1357/E1357</f>
        <v/>
      </c>
      <c r="H1357" s="10">
        <f>(A1357-B1357-(D1357-1))/(A1357-(D1357-1))</f>
        <v/>
      </c>
      <c r="I1357" s="9">
        <f>A1357&amp;'x'&amp;B1357</f>
        <v/>
      </c>
      <c r="J1357" s="9">
        <f>IF(AND(G1357&gt;0.9,G1357&lt;1),"OK","CHECK")</f>
        <v/>
      </c>
    </row>
    <row r="1358">
      <c r="A1358" s="9" t="n">
        <v>49</v>
      </c>
      <c r="B1358" s="9" t="n">
        <v>6</v>
      </c>
      <c r="C1358" s="9" t="n">
        <v>43</v>
      </c>
      <c r="D1358" s="9" t="n">
        <v>39</v>
      </c>
      <c r="E1358" s="10">
        <f>COMBIN(A1358,D1358)/COMBIN(A1358-B1358,D1358)</f>
        <v/>
      </c>
      <c r="F1358" s="11">
        <f>ROUNDUP(E1358*Controls!$B$4,4)</f>
        <v/>
      </c>
      <c r="G1358" s="12">
        <f>F1358/E1358</f>
        <v/>
      </c>
      <c r="H1358" s="10">
        <f>(A1358-B1358-(D1358-1))/(A1358-(D1358-1))</f>
        <v/>
      </c>
      <c r="I1358" s="9">
        <f>A1358&amp;'x'&amp;B1358</f>
        <v/>
      </c>
      <c r="J1358" s="9">
        <f>IF(AND(G1358&gt;0.9,G1358&lt;1),"OK","CHECK")</f>
        <v/>
      </c>
    </row>
    <row r="1359">
      <c r="A1359" s="9" t="n">
        <v>49</v>
      </c>
      <c r="B1359" s="9" t="n">
        <v>6</v>
      </c>
      <c r="C1359" s="9" t="n">
        <v>43</v>
      </c>
      <c r="D1359" s="9" t="n">
        <v>40</v>
      </c>
      <c r="E1359" s="10">
        <f>COMBIN(A1359,D1359)/COMBIN(A1359-B1359,D1359)</f>
        <v/>
      </c>
      <c r="F1359" s="11">
        <f>ROUNDUP(E1359*Controls!$B$4,4)</f>
        <v/>
      </c>
      <c r="G1359" s="12">
        <f>F1359/E1359</f>
        <v/>
      </c>
      <c r="H1359" s="10">
        <f>(A1359-B1359-(D1359-1))/(A1359-(D1359-1))</f>
        <v/>
      </c>
      <c r="I1359" s="9">
        <f>A1359&amp;'x'&amp;B1359</f>
        <v/>
      </c>
      <c r="J1359" s="9">
        <f>IF(AND(G1359&gt;0.9,G1359&lt;1),"OK","CHECK")</f>
        <v/>
      </c>
    </row>
    <row r="1360">
      <c r="A1360" s="9" t="n">
        <v>49</v>
      </c>
      <c r="B1360" s="9" t="n">
        <v>6</v>
      </c>
      <c r="C1360" s="9" t="n">
        <v>43</v>
      </c>
      <c r="D1360" s="9" t="n">
        <v>41</v>
      </c>
      <c r="E1360" s="10">
        <f>COMBIN(A1360,D1360)/COMBIN(A1360-B1360,D1360)</f>
        <v/>
      </c>
      <c r="F1360" s="11">
        <f>ROUNDUP(E1360*Controls!$B$4,4)</f>
        <v/>
      </c>
      <c r="G1360" s="12">
        <f>F1360/E1360</f>
        <v/>
      </c>
      <c r="H1360" s="10">
        <f>(A1360-B1360-(D1360-1))/(A1360-(D1360-1))</f>
        <v/>
      </c>
      <c r="I1360" s="9">
        <f>A1360&amp;'x'&amp;B1360</f>
        <v/>
      </c>
      <c r="J1360" s="9">
        <f>IF(AND(G1360&gt;0.9,G1360&lt;1),"OK","CHECK")</f>
        <v/>
      </c>
    </row>
    <row r="1361">
      <c r="A1361" s="9" t="n">
        <v>49</v>
      </c>
      <c r="B1361" s="9" t="n">
        <v>6</v>
      </c>
      <c r="C1361" s="9" t="n">
        <v>43</v>
      </c>
      <c r="D1361" s="9" t="n">
        <v>42</v>
      </c>
      <c r="E1361" s="10">
        <f>COMBIN(A1361,D1361)/COMBIN(A1361-B1361,D1361)</f>
        <v/>
      </c>
      <c r="F1361" s="11">
        <f>ROUNDUP(E1361*Controls!$B$4,4)</f>
        <v/>
      </c>
      <c r="G1361" s="12">
        <f>F1361/E1361</f>
        <v/>
      </c>
      <c r="H1361" s="10">
        <f>(A1361-B1361-(D1361-1))/(A1361-(D1361-1))</f>
        <v/>
      </c>
      <c r="I1361" s="9">
        <f>A1361&amp;'x'&amp;B1361</f>
        <v/>
      </c>
      <c r="J1361" s="9">
        <f>IF(AND(G1361&gt;0.9,G1361&lt;1),"OK","CHECK")</f>
        <v/>
      </c>
    </row>
    <row r="1362">
      <c r="A1362" s="9" t="n">
        <v>49</v>
      </c>
      <c r="B1362" s="9" t="n">
        <v>6</v>
      </c>
      <c r="C1362" s="9" t="n">
        <v>43</v>
      </c>
      <c r="D1362" s="9" t="n">
        <v>43</v>
      </c>
      <c r="E1362" s="10">
        <f>COMBIN(A1362,D1362)/COMBIN(A1362-B1362,D1362)</f>
        <v/>
      </c>
      <c r="F1362" s="11">
        <f>ROUNDUP(E1362*Controls!$B$4,4)</f>
        <v/>
      </c>
      <c r="G1362" s="12">
        <f>F1362/E1362</f>
        <v/>
      </c>
      <c r="H1362" s="10">
        <f>(A1362-B1362-(D1362-1))/(A1362-(D1362-1))</f>
        <v/>
      </c>
      <c r="I1362" s="9">
        <f>A1362&amp;'x'&amp;B1362</f>
        <v/>
      </c>
      <c r="J1362" s="9">
        <f>IF(AND(G1362&gt;0.9,G1362&lt;1),"OK","CHECK")</f>
        <v/>
      </c>
    </row>
    <row r="1363">
      <c r="A1363" s="9" t="n">
        <v>49</v>
      </c>
      <c r="B1363" s="9" t="n">
        <v>7</v>
      </c>
      <c r="C1363" s="9" t="n">
        <v>42</v>
      </c>
      <c r="D1363" s="9" t="n">
        <v>1</v>
      </c>
      <c r="E1363" s="10">
        <f>COMBIN(A1363,D1363)/COMBIN(A1363-B1363,D1363)</f>
        <v/>
      </c>
      <c r="F1363" s="11">
        <f>ROUNDUP(E1363*Controls!$B$4,4)</f>
        <v/>
      </c>
      <c r="G1363" s="12">
        <f>F1363/E1363</f>
        <v/>
      </c>
      <c r="H1363" s="10">
        <f>(A1363-B1363-(D1363-1))/(A1363-(D1363-1))</f>
        <v/>
      </c>
      <c r="I1363" s="9">
        <f>A1363&amp;'x'&amp;B1363</f>
        <v/>
      </c>
      <c r="J1363" s="9">
        <f>IF(AND(G1363&gt;0.9,G1363&lt;1),"OK","CHECK")</f>
        <v/>
      </c>
    </row>
    <row r="1364">
      <c r="A1364" s="9" t="n">
        <v>49</v>
      </c>
      <c r="B1364" s="9" t="n">
        <v>7</v>
      </c>
      <c r="C1364" s="9" t="n">
        <v>42</v>
      </c>
      <c r="D1364" s="9" t="n">
        <v>2</v>
      </c>
      <c r="E1364" s="10">
        <f>COMBIN(A1364,D1364)/COMBIN(A1364-B1364,D1364)</f>
        <v/>
      </c>
      <c r="F1364" s="11">
        <f>ROUNDUP(E1364*Controls!$B$4,4)</f>
        <v/>
      </c>
      <c r="G1364" s="12">
        <f>F1364/E1364</f>
        <v/>
      </c>
      <c r="H1364" s="10">
        <f>(A1364-B1364-(D1364-1))/(A1364-(D1364-1))</f>
        <v/>
      </c>
      <c r="I1364" s="9">
        <f>A1364&amp;'x'&amp;B1364</f>
        <v/>
      </c>
      <c r="J1364" s="9">
        <f>IF(AND(G1364&gt;0.9,G1364&lt;1),"OK","CHECK")</f>
        <v/>
      </c>
    </row>
    <row r="1365">
      <c r="A1365" s="9" t="n">
        <v>49</v>
      </c>
      <c r="B1365" s="9" t="n">
        <v>7</v>
      </c>
      <c r="C1365" s="9" t="n">
        <v>42</v>
      </c>
      <c r="D1365" s="9" t="n">
        <v>3</v>
      </c>
      <c r="E1365" s="10">
        <f>COMBIN(A1365,D1365)/COMBIN(A1365-B1365,D1365)</f>
        <v/>
      </c>
      <c r="F1365" s="11">
        <f>ROUNDUP(E1365*Controls!$B$4,4)</f>
        <v/>
      </c>
      <c r="G1365" s="12">
        <f>F1365/E1365</f>
        <v/>
      </c>
      <c r="H1365" s="10">
        <f>(A1365-B1365-(D1365-1))/(A1365-(D1365-1))</f>
        <v/>
      </c>
      <c r="I1365" s="9">
        <f>A1365&amp;'x'&amp;B1365</f>
        <v/>
      </c>
      <c r="J1365" s="9">
        <f>IF(AND(G1365&gt;0.9,G1365&lt;1),"OK","CHECK")</f>
        <v/>
      </c>
    </row>
    <row r="1366">
      <c r="A1366" s="9" t="n">
        <v>49</v>
      </c>
      <c r="B1366" s="9" t="n">
        <v>7</v>
      </c>
      <c r="C1366" s="9" t="n">
        <v>42</v>
      </c>
      <c r="D1366" s="9" t="n">
        <v>4</v>
      </c>
      <c r="E1366" s="10">
        <f>COMBIN(A1366,D1366)/COMBIN(A1366-B1366,D1366)</f>
        <v/>
      </c>
      <c r="F1366" s="11">
        <f>ROUNDUP(E1366*Controls!$B$4,4)</f>
        <v/>
      </c>
      <c r="G1366" s="12">
        <f>F1366/E1366</f>
        <v/>
      </c>
      <c r="H1366" s="10">
        <f>(A1366-B1366-(D1366-1))/(A1366-(D1366-1))</f>
        <v/>
      </c>
      <c r="I1366" s="9">
        <f>A1366&amp;'x'&amp;B1366</f>
        <v/>
      </c>
      <c r="J1366" s="9">
        <f>IF(AND(G1366&gt;0.9,G1366&lt;1),"OK","CHECK")</f>
        <v/>
      </c>
    </row>
    <row r="1367">
      <c r="A1367" s="9" t="n">
        <v>49</v>
      </c>
      <c r="B1367" s="9" t="n">
        <v>7</v>
      </c>
      <c r="C1367" s="9" t="n">
        <v>42</v>
      </c>
      <c r="D1367" s="9" t="n">
        <v>5</v>
      </c>
      <c r="E1367" s="10">
        <f>COMBIN(A1367,D1367)/COMBIN(A1367-B1367,D1367)</f>
        <v/>
      </c>
      <c r="F1367" s="11">
        <f>ROUNDUP(E1367*Controls!$B$4,4)</f>
        <v/>
      </c>
      <c r="G1367" s="12">
        <f>F1367/E1367</f>
        <v/>
      </c>
      <c r="H1367" s="10">
        <f>(A1367-B1367-(D1367-1))/(A1367-(D1367-1))</f>
        <v/>
      </c>
      <c r="I1367" s="9">
        <f>A1367&amp;'x'&amp;B1367</f>
        <v/>
      </c>
      <c r="J1367" s="9">
        <f>IF(AND(G1367&gt;0.9,G1367&lt;1),"OK","CHECK")</f>
        <v/>
      </c>
    </row>
    <row r="1368">
      <c r="A1368" s="9" t="n">
        <v>49</v>
      </c>
      <c r="B1368" s="9" t="n">
        <v>7</v>
      </c>
      <c r="C1368" s="9" t="n">
        <v>42</v>
      </c>
      <c r="D1368" s="9" t="n">
        <v>6</v>
      </c>
      <c r="E1368" s="10">
        <f>COMBIN(A1368,D1368)/COMBIN(A1368-B1368,D1368)</f>
        <v/>
      </c>
      <c r="F1368" s="11">
        <f>ROUNDUP(E1368*Controls!$B$4,4)</f>
        <v/>
      </c>
      <c r="G1368" s="12">
        <f>F1368/E1368</f>
        <v/>
      </c>
      <c r="H1368" s="10">
        <f>(A1368-B1368-(D1368-1))/(A1368-(D1368-1))</f>
        <v/>
      </c>
      <c r="I1368" s="9">
        <f>A1368&amp;'x'&amp;B1368</f>
        <v/>
      </c>
      <c r="J1368" s="9">
        <f>IF(AND(G1368&gt;0.9,G1368&lt;1),"OK","CHECK")</f>
        <v/>
      </c>
    </row>
    <row r="1369">
      <c r="A1369" s="9" t="n">
        <v>49</v>
      </c>
      <c r="B1369" s="9" t="n">
        <v>7</v>
      </c>
      <c r="C1369" s="9" t="n">
        <v>42</v>
      </c>
      <c r="D1369" s="9" t="n">
        <v>7</v>
      </c>
      <c r="E1369" s="10">
        <f>COMBIN(A1369,D1369)/COMBIN(A1369-B1369,D1369)</f>
        <v/>
      </c>
      <c r="F1369" s="11">
        <f>ROUNDUP(E1369*Controls!$B$4,4)</f>
        <v/>
      </c>
      <c r="G1369" s="12">
        <f>F1369/E1369</f>
        <v/>
      </c>
      <c r="H1369" s="10">
        <f>(A1369-B1369-(D1369-1))/(A1369-(D1369-1))</f>
        <v/>
      </c>
      <c r="I1369" s="9">
        <f>A1369&amp;'x'&amp;B1369</f>
        <v/>
      </c>
      <c r="J1369" s="9">
        <f>IF(AND(G1369&gt;0.9,G1369&lt;1),"OK","CHECK")</f>
        <v/>
      </c>
    </row>
    <row r="1370">
      <c r="A1370" s="9" t="n">
        <v>49</v>
      </c>
      <c r="B1370" s="9" t="n">
        <v>7</v>
      </c>
      <c r="C1370" s="9" t="n">
        <v>42</v>
      </c>
      <c r="D1370" s="9" t="n">
        <v>8</v>
      </c>
      <c r="E1370" s="10">
        <f>COMBIN(A1370,D1370)/COMBIN(A1370-B1370,D1370)</f>
        <v/>
      </c>
      <c r="F1370" s="11">
        <f>ROUNDUP(E1370*Controls!$B$4,4)</f>
        <v/>
      </c>
      <c r="G1370" s="12">
        <f>F1370/E1370</f>
        <v/>
      </c>
      <c r="H1370" s="10">
        <f>(A1370-B1370-(D1370-1))/(A1370-(D1370-1))</f>
        <v/>
      </c>
      <c r="I1370" s="9">
        <f>A1370&amp;'x'&amp;B1370</f>
        <v/>
      </c>
      <c r="J1370" s="9">
        <f>IF(AND(G1370&gt;0.9,G1370&lt;1),"OK","CHECK")</f>
        <v/>
      </c>
    </row>
    <row r="1371">
      <c r="A1371" s="9" t="n">
        <v>49</v>
      </c>
      <c r="B1371" s="9" t="n">
        <v>7</v>
      </c>
      <c r="C1371" s="9" t="n">
        <v>42</v>
      </c>
      <c r="D1371" s="9" t="n">
        <v>9</v>
      </c>
      <c r="E1371" s="10">
        <f>COMBIN(A1371,D1371)/COMBIN(A1371-B1371,D1371)</f>
        <v/>
      </c>
      <c r="F1371" s="11">
        <f>ROUNDUP(E1371*Controls!$B$4,4)</f>
        <v/>
      </c>
      <c r="G1371" s="12">
        <f>F1371/E1371</f>
        <v/>
      </c>
      <c r="H1371" s="10">
        <f>(A1371-B1371-(D1371-1))/(A1371-(D1371-1))</f>
        <v/>
      </c>
      <c r="I1371" s="9">
        <f>A1371&amp;'x'&amp;B1371</f>
        <v/>
      </c>
      <c r="J1371" s="9">
        <f>IF(AND(G1371&gt;0.9,G1371&lt;1),"OK","CHECK")</f>
        <v/>
      </c>
    </row>
    <row r="1372">
      <c r="A1372" s="9" t="n">
        <v>49</v>
      </c>
      <c r="B1372" s="9" t="n">
        <v>7</v>
      </c>
      <c r="C1372" s="9" t="n">
        <v>42</v>
      </c>
      <c r="D1372" s="9" t="n">
        <v>10</v>
      </c>
      <c r="E1372" s="10">
        <f>COMBIN(A1372,D1372)/COMBIN(A1372-B1372,D1372)</f>
        <v/>
      </c>
      <c r="F1372" s="11">
        <f>ROUNDUP(E1372*Controls!$B$4,4)</f>
        <v/>
      </c>
      <c r="G1372" s="12">
        <f>F1372/E1372</f>
        <v/>
      </c>
      <c r="H1372" s="10">
        <f>(A1372-B1372-(D1372-1))/(A1372-(D1372-1))</f>
        <v/>
      </c>
      <c r="I1372" s="9">
        <f>A1372&amp;'x'&amp;B1372</f>
        <v/>
      </c>
      <c r="J1372" s="9">
        <f>IF(AND(G1372&gt;0.9,G1372&lt;1),"OK","CHECK")</f>
        <v/>
      </c>
    </row>
    <row r="1373">
      <c r="A1373" s="9" t="n">
        <v>49</v>
      </c>
      <c r="B1373" s="9" t="n">
        <v>7</v>
      </c>
      <c r="C1373" s="9" t="n">
        <v>42</v>
      </c>
      <c r="D1373" s="9" t="n">
        <v>11</v>
      </c>
      <c r="E1373" s="10">
        <f>COMBIN(A1373,D1373)/COMBIN(A1373-B1373,D1373)</f>
        <v/>
      </c>
      <c r="F1373" s="11">
        <f>ROUNDUP(E1373*Controls!$B$4,4)</f>
        <v/>
      </c>
      <c r="G1373" s="12">
        <f>F1373/E1373</f>
        <v/>
      </c>
      <c r="H1373" s="10">
        <f>(A1373-B1373-(D1373-1))/(A1373-(D1373-1))</f>
        <v/>
      </c>
      <c r="I1373" s="9">
        <f>A1373&amp;'x'&amp;B1373</f>
        <v/>
      </c>
      <c r="J1373" s="9">
        <f>IF(AND(G1373&gt;0.9,G1373&lt;1),"OK","CHECK")</f>
        <v/>
      </c>
    </row>
    <row r="1374">
      <c r="A1374" s="9" t="n">
        <v>49</v>
      </c>
      <c r="B1374" s="9" t="n">
        <v>7</v>
      </c>
      <c r="C1374" s="9" t="n">
        <v>42</v>
      </c>
      <c r="D1374" s="9" t="n">
        <v>12</v>
      </c>
      <c r="E1374" s="10">
        <f>COMBIN(A1374,D1374)/COMBIN(A1374-B1374,D1374)</f>
        <v/>
      </c>
      <c r="F1374" s="11">
        <f>ROUNDUP(E1374*Controls!$B$4,4)</f>
        <v/>
      </c>
      <c r="G1374" s="12">
        <f>F1374/E1374</f>
        <v/>
      </c>
      <c r="H1374" s="10">
        <f>(A1374-B1374-(D1374-1))/(A1374-(D1374-1))</f>
        <v/>
      </c>
      <c r="I1374" s="9">
        <f>A1374&amp;'x'&amp;B1374</f>
        <v/>
      </c>
      <c r="J1374" s="9">
        <f>IF(AND(G1374&gt;0.9,G1374&lt;1),"OK","CHECK")</f>
        <v/>
      </c>
    </row>
    <row r="1375">
      <c r="A1375" s="9" t="n">
        <v>49</v>
      </c>
      <c r="B1375" s="9" t="n">
        <v>7</v>
      </c>
      <c r="C1375" s="9" t="n">
        <v>42</v>
      </c>
      <c r="D1375" s="9" t="n">
        <v>13</v>
      </c>
      <c r="E1375" s="10">
        <f>COMBIN(A1375,D1375)/COMBIN(A1375-B1375,D1375)</f>
        <v/>
      </c>
      <c r="F1375" s="11">
        <f>ROUNDUP(E1375*Controls!$B$4,4)</f>
        <v/>
      </c>
      <c r="G1375" s="12">
        <f>F1375/E1375</f>
        <v/>
      </c>
      <c r="H1375" s="10">
        <f>(A1375-B1375-(D1375-1))/(A1375-(D1375-1))</f>
        <v/>
      </c>
      <c r="I1375" s="9">
        <f>A1375&amp;'x'&amp;B1375</f>
        <v/>
      </c>
      <c r="J1375" s="9">
        <f>IF(AND(G1375&gt;0.9,G1375&lt;1),"OK","CHECK")</f>
        <v/>
      </c>
    </row>
    <row r="1376">
      <c r="A1376" s="9" t="n">
        <v>49</v>
      </c>
      <c r="B1376" s="9" t="n">
        <v>7</v>
      </c>
      <c r="C1376" s="9" t="n">
        <v>42</v>
      </c>
      <c r="D1376" s="9" t="n">
        <v>14</v>
      </c>
      <c r="E1376" s="10">
        <f>COMBIN(A1376,D1376)/COMBIN(A1376-B1376,D1376)</f>
        <v/>
      </c>
      <c r="F1376" s="11">
        <f>ROUNDUP(E1376*Controls!$B$4,4)</f>
        <v/>
      </c>
      <c r="G1376" s="12">
        <f>F1376/E1376</f>
        <v/>
      </c>
      <c r="H1376" s="10">
        <f>(A1376-B1376-(D1376-1))/(A1376-(D1376-1))</f>
        <v/>
      </c>
      <c r="I1376" s="9">
        <f>A1376&amp;'x'&amp;B1376</f>
        <v/>
      </c>
      <c r="J1376" s="9">
        <f>IF(AND(G1376&gt;0.9,G1376&lt;1),"OK","CHECK")</f>
        <v/>
      </c>
    </row>
    <row r="1377">
      <c r="A1377" s="9" t="n">
        <v>49</v>
      </c>
      <c r="B1377" s="9" t="n">
        <v>7</v>
      </c>
      <c r="C1377" s="9" t="n">
        <v>42</v>
      </c>
      <c r="D1377" s="9" t="n">
        <v>15</v>
      </c>
      <c r="E1377" s="10">
        <f>COMBIN(A1377,D1377)/COMBIN(A1377-B1377,D1377)</f>
        <v/>
      </c>
      <c r="F1377" s="11">
        <f>ROUNDUP(E1377*Controls!$B$4,4)</f>
        <v/>
      </c>
      <c r="G1377" s="12">
        <f>F1377/E1377</f>
        <v/>
      </c>
      <c r="H1377" s="10">
        <f>(A1377-B1377-(D1377-1))/(A1377-(D1377-1))</f>
        <v/>
      </c>
      <c r="I1377" s="9">
        <f>A1377&amp;'x'&amp;B1377</f>
        <v/>
      </c>
      <c r="J1377" s="9">
        <f>IF(AND(G1377&gt;0.9,G1377&lt;1),"OK","CHECK")</f>
        <v/>
      </c>
    </row>
    <row r="1378">
      <c r="A1378" s="9" t="n">
        <v>49</v>
      </c>
      <c r="B1378" s="9" t="n">
        <v>7</v>
      </c>
      <c r="C1378" s="9" t="n">
        <v>42</v>
      </c>
      <c r="D1378" s="9" t="n">
        <v>16</v>
      </c>
      <c r="E1378" s="10">
        <f>COMBIN(A1378,D1378)/COMBIN(A1378-B1378,D1378)</f>
        <v/>
      </c>
      <c r="F1378" s="11">
        <f>ROUNDUP(E1378*Controls!$B$4,4)</f>
        <v/>
      </c>
      <c r="G1378" s="12">
        <f>F1378/E1378</f>
        <v/>
      </c>
      <c r="H1378" s="10">
        <f>(A1378-B1378-(D1378-1))/(A1378-(D1378-1))</f>
        <v/>
      </c>
      <c r="I1378" s="9">
        <f>A1378&amp;'x'&amp;B1378</f>
        <v/>
      </c>
      <c r="J1378" s="9">
        <f>IF(AND(G1378&gt;0.9,G1378&lt;1),"OK","CHECK")</f>
        <v/>
      </c>
    </row>
    <row r="1379">
      <c r="A1379" s="9" t="n">
        <v>49</v>
      </c>
      <c r="B1379" s="9" t="n">
        <v>7</v>
      </c>
      <c r="C1379" s="9" t="n">
        <v>42</v>
      </c>
      <c r="D1379" s="9" t="n">
        <v>17</v>
      </c>
      <c r="E1379" s="10">
        <f>COMBIN(A1379,D1379)/COMBIN(A1379-B1379,D1379)</f>
        <v/>
      </c>
      <c r="F1379" s="11">
        <f>ROUNDUP(E1379*Controls!$B$4,4)</f>
        <v/>
      </c>
      <c r="G1379" s="12">
        <f>F1379/E1379</f>
        <v/>
      </c>
      <c r="H1379" s="10">
        <f>(A1379-B1379-(D1379-1))/(A1379-(D1379-1))</f>
        <v/>
      </c>
      <c r="I1379" s="9">
        <f>A1379&amp;'x'&amp;B1379</f>
        <v/>
      </c>
      <c r="J1379" s="9">
        <f>IF(AND(G1379&gt;0.9,G1379&lt;1),"OK","CHECK")</f>
        <v/>
      </c>
    </row>
    <row r="1380">
      <c r="A1380" s="9" t="n">
        <v>49</v>
      </c>
      <c r="B1380" s="9" t="n">
        <v>7</v>
      </c>
      <c r="C1380" s="9" t="n">
        <v>42</v>
      </c>
      <c r="D1380" s="9" t="n">
        <v>18</v>
      </c>
      <c r="E1380" s="10">
        <f>COMBIN(A1380,D1380)/COMBIN(A1380-B1380,D1380)</f>
        <v/>
      </c>
      <c r="F1380" s="11">
        <f>ROUNDUP(E1380*Controls!$B$4,4)</f>
        <v/>
      </c>
      <c r="G1380" s="12">
        <f>F1380/E1380</f>
        <v/>
      </c>
      <c r="H1380" s="10">
        <f>(A1380-B1380-(D1380-1))/(A1380-(D1380-1))</f>
        <v/>
      </c>
      <c r="I1380" s="9">
        <f>A1380&amp;'x'&amp;B1380</f>
        <v/>
      </c>
      <c r="J1380" s="9">
        <f>IF(AND(G1380&gt;0.9,G1380&lt;1),"OK","CHECK")</f>
        <v/>
      </c>
    </row>
    <row r="1381">
      <c r="A1381" s="9" t="n">
        <v>49</v>
      </c>
      <c r="B1381" s="9" t="n">
        <v>7</v>
      </c>
      <c r="C1381" s="9" t="n">
        <v>42</v>
      </c>
      <c r="D1381" s="9" t="n">
        <v>19</v>
      </c>
      <c r="E1381" s="10">
        <f>COMBIN(A1381,D1381)/COMBIN(A1381-B1381,D1381)</f>
        <v/>
      </c>
      <c r="F1381" s="11">
        <f>ROUNDUP(E1381*Controls!$B$4,4)</f>
        <v/>
      </c>
      <c r="G1381" s="12">
        <f>F1381/E1381</f>
        <v/>
      </c>
      <c r="H1381" s="10">
        <f>(A1381-B1381-(D1381-1))/(A1381-(D1381-1))</f>
        <v/>
      </c>
      <c r="I1381" s="9">
        <f>A1381&amp;'x'&amp;B1381</f>
        <v/>
      </c>
      <c r="J1381" s="9">
        <f>IF(AND(G1381&gt;0.9,G1381&lt;1),"OK","CHECK")</f>
        <v/>
      </c>
    </row>
    <row r="1382">
      <c r="A1382" s="9" t="n">
        <v>49</v>
      </c>
      <c r="B1382" s="9" t="n">
        <v>7</v>
      </c>
      <c r="C1382" s="9" t="n">
        <v>42</v>
      </c>
      <c r="D1382" s="9" t="n">
        <v>20</v>
      </c>
      <c r="E1382" s="10">
        <f>COMBIN(A1382,D1382)/COMBIN(A1382-B1382,D1382)</f>
        <v/>
      </c>
      <c r="F1382" s="11">
        <f>ROUNDUP(E1382*Controls!$B$4,4)</f>
        <v/>
      </c>
      <c r="G1382" s="12">
        <f>F1382/E1382</f>
        <v/>
      </c>
      <c r="H1382" s="10">
        <f>(A1382-B1382-(D1382-1))/(A1382-(D1382-1))</f>
        <v/>
      </c>
      <c r="I1382" s="9">
        <f>A1382&amp;'x'&amp;B1382</f>
        <v/>
      </c>
      <c r="J1382" s="9">
        <f>IF(AND(G1382&gt;0.9,G1382&lt;1),"OK","CHECK")</f>
        <v/>
      </c>
    </row>
    <row r="1383">
      <c r="A1383" s="9" t="n">
        <v>49</v>
      </c>
      <c r="B1383" s="9" t="n">
        <v>7</v>
      </c>
      <c r="C1383" s="9" t="n">
        <v>42</v>
      </c>
      <c r="D1383" s="9" t="n">
        <v>21</v>
      </c>
      <c r="E1383" s="10">
        <f>COMBIN(A1383,D1383)/COMBIN(A1383-B1383,D1383)</f>
        <v/>
      </c>
      <c r="F1383" s="11">
        <f>ROUNDUP(E1383*Controls!$B$4,4)</f>
        <v/>
      </c>
      <c r="G1383" s="12">
        <f>F1383/E1383</f>
        <v/>
      </c>
      <c r="H1383" s="10">
        <f>(A1383-B1383-(D1383-1))/(A1383-(D1383-1))</f>
        <v/>
      </c>
      <c r="I1383" s="9">
        <f>A1383&amp;'x'&amp;B1383</f>
        <v/>
      </c>
      <c r="J1383" s="9">
        <f>IF(AND(G1383&gt;0.9,G1383&lt;1),"OK","CHECK")</f>
        <v/>
      </c>
    </row>
    <row r="1384">
      <c r="A1384" s="9" t="n">
        <v>49</v>
      </c>
      <c r="B1384" s="9" t="n">
        <v>7</v>
      </c>
      <c r="C1384" s="9" t="n">
        <v>42</v>
      </c>
      <c r="D1384" s="9" t="n">
        <v>22</v>
      </c>
      <c r="E1384" s="10">
        <f>COMBIN(A1384,D1384)/COMBIN(A1384-B1384,D1384)</f>
        <v/>
      </c>
      <c r="F1384" s="11">
        <f>ROUNDUP(E1384*Controls!$B$4,4)</f>
        <v/>
      </c>
      <c r="G1384" s="12">
        <f>F1384/E1384</f>
        <v/>
      </c>
      <c r="H1384" s="10">
        <f>(A1384-B1384-(D1384-1))/(A1384-(D1384-1))</f>
        <v/>
      </c>
      <c r="I1384" s="9">
        <f>A1384&amp;'x'&amp;B1384</f>
        <v/>
      </c>
      <c r="J1384" s="9">
        <f>IF(AND(G1384&gt;0.9,G1384&lt;1),"OK","CHECK")</f>
        <v/>
      </c>
    </row>
    <row r="1385">
      <c r="A1385" s="9" t="n">
        <v>49</v>
      </c>
      <c r="B1385" s="9" t="n">
        <v>7</v>
      </c>
      <c r="C1385" s="9" t="n">
        <v>42</v>
      </c>
      <c r="D1385" s="9" t="n">
        <v>23</v>
      </c>
      <c r="E1385" s="10">
        <f>COMBIN(A1385,D1385)/COMBIN(A1385-B1385,D1385)</f>
        <v/>
      </c>
      <c r="F1385" s="11">
        <f>ROUNDUP(E1385*Controls!$B$4,4)</f>
        <v/>
      </c>
      <c r="G1385" s="12">
        <f>F1385/E1385</f>
        <v/>
      </c>
      <c r="H1385" s="10">
        <f>(A1385-B1385-(D1385-1))/(A1385-(D1385-1))</f>
        <v/>
      </c>
      <c r="I1385" s="9">
        <f>A1385&amp;'x'&amp;B1385</f>
        <v/>
      </c>
      <c r="J1385" s="9">
        <f>IF(AND(G1385&gt;0.9,G1385&lt;1),"OK","CHECK")</f>
        <v/>
      </c>
    </row>
    <row r="1386">
      <c r="A1386" s="9" t="n">
        <v>49</v>
      </c>
      <c r="B1386" s="9" t="n">
        <v>7</v>
      </c>
      <c r="C1386" s="9" t="n">
        <v>42</v>
      </c>
      <c r="D1386" s="9" t="n">
        <v>24</v>
      </c>
      <c r="E1386" s="10">
        <f>COMBIN(A1386,D1386)/COMBIN(A1386-B1386,D1386)</f>
        <v/>
      </c>
      <c r="F1386" s="11">
        <f>ROUNDUP(E1386*Controls!$B$4,4)</f>
        <v/>
      </c>
      <c r="G1386" s="12">
        <f>F1386/E1386</f>
        <v/>
      </c>
      <c r="H1386" s="10">
        <f>(A1386-B1386-(D1386-1))/(A1386-(D1386-1))</f>
        <v/>
      </c>
      <c r="I1386" s="9">
        <f>A1386&amp;'x'&amp;B1386</f>
        <v/>
      </c>
      <c r="J1386" s="9">
        <f>IF(AND(G1386&gt;0.9,G1386&lt;1),"OK","CHECK")</f>
        <v/>
      </c>
    </row>
    <row r="1387">
      <c r="A1387" s="9" t="n">
        <v>49</v>
      </c>
      <c r="B1387" s="9" t="n">
        <v>7</v>
      </c>
      <c r="C1387" s="9" t="n">
        <v>42</v>
      </c>
      <c r="D1387" s="9" t="n">
        <v>25</v>
      </c>
      <c r="E1387" s="10">
        <f>COMBIN(A1387,D1387)/COMBIN(A1387-B1387,D1387)</f>
        <v/>
      </c>
      <c r="F1387" s="11">
        <f>ROUNDUP(E1387*Controls!$B$4,4)</f>
        <v/>
      </c>
      <c r="G1387" s="12">
        <f>F1387/E1387</f>
        <v/>
      </c>
      <c r="H1387" s="10">
        <f>(A1387-B1387-(D1387-1))/(A1387-(D1387-1))</f>
        <v/>
      </c>
      <c r="I1387" s="9">
        <f>A1387&amp;'x'&amp;B1387</f>
        <v/>
      </c>
      <c r="J1387" s="9">
        <f>IF(AND(G1387&gt;0.9,G1387&lt;1),"OK","CHECK")</f>
        <v/>
      </c>
    </row>
    <row r="1388">
      <c r="A1388" s="9" t="n">
        <v>49</v>
      </c>
      <c r="B1388" s="9" t="n">
        <v>7</v>
      </c>
      <c r="C1388" s="9" t="n">
        <v>42</v>
      </c>
      <c r="D1388" s="9" t="n">
        <v>26</v>
      </c>
      <c r="E1388" s="10">
        <f>COMBIN(A1388,D1388)/COMBIN(A1388-B1388,D1388)</f>
        <v/>
      </c>
      <c r="F1388" s="11">
        <f>ROUNDUP(E1388*Controls!$B$4,4)</f>
        <v/>
      </c>
      <c r="G1388" s="12">
        <f>F1388/E1388</f>
        <v/>
      </c>
      <c r="H1388" s="10">
        <f>(A1388-B1388-(D1388-1))/(A1388-(D1388-1))</f>
        <v/>
      </c>
      <c r="I1388" s="9">
        <f>A1388&amp;'x'&amp;B1388</f>
        <v/>
      </c>
      <c r="J1388" s="9">
        <f>IF(AND(G1388&gt;0.9,G1388&lt;1),"OK","CHECK")</f>
        <v/>
      </c>
    </row>
    <row r="1389">
      <c r="A1389" s="9" t="n">
        <v>49</v>
      </c>
      <c r="B1389" s="9" t="n">
        <v>7</v>
      </c>
      <c r="C1389" s="9" t="n">
        <v>42</v>
      </c>
      <c r="D1389" s="9" t="n">
        <v>27</v>
      </c>
      <c r="E1389" s="10">
        <f>COMBIN(A1389,D1389)/COMBIN(A1389-B1389,D1389)</f>
        <v/>
      </c>
      <c r="F1389" s="11">
        <f>ROUNDUP(E1389*Controls!$B$4,4)</f>
        <v/>
      </c>
      <c r="G1389" s="12">
        <f>F1389/E1389</f>
        <v/>
      </c>
      <c r="H1389" s="10">
        <f>(A1389-B1389-(D1389-1))/(A1389-(D1389-1))</f>
        <v/>
      </c>
      <c r="I1389" s="9">
        <f>A1389&amp;'x'&amp;B1389</f>
        <v/>
      </c>
      <c r="J1389" s="9">
        <f>IF(AND(G1389&gt;0.9,G1389&lt;1),"OK","CHECK")</f>
        <v/>
      </c>
    </row>
    <row r="1390">
      <c r="A1390" s="9" t="n">
        <v>49</v>
      </c>
      <c r="B1390" s="9" t="n">
        <v>7</v>
      </c>
      <c r="C1390" s="9" t="n">
        <v>42</v>
      </c>
      <c r="D1390" s="9" t="n">
        <v>28</v>
      </c>
      <c r="E1390" s="10">
        <f>COMBIN(A1390,D1390)/COMBIN(A1390-B1390,D1390)</f>
        <v/>
      </c>
      <c r="F1390" s="11">
        <f>ROUNDUP(E1390*Controls!$B$4,4)</f>
        <v/>
      </c>
      <c r="G1390" s="12">
        <f>F1390/E1390</f>
        <v/>
      </c>
      <c r="H1390" s="10">
        <f>(A1390-B1390-(D1390-1))/(A1390-(D1390-1))</f>
        <v/>
      </c>
      <c r="I1390" s="9">
        <f>A1390&amp;'x'&amp;B1390</f>
        <v/>
      </c>
      <c r="J1390" s="9">
        <f>IF(AND(G1390&gt;0.9,G1390&lt;1),"OK","CHECK")</f>
        <v/>
      </c>
    </row>
    <row r="1391">
      <c r="A1391" s="9" t="n">
        <v>49</v>
      </c>
      <c r="B1391" s="9" t="n">
        <v>7</v>
      </c>
      <c r="C1391" s="9" t="n">
        <v>42</v>
      </c>
      <c r="D1391" s="9" t="n">
        <v>29</v>
      </c>
      <c r="E1391" s="10">
        <f>COMBIN(A1391,D1391)/COMBIN(A1391-B1391,D1391)</f>
        <v/>
      </c>
      <c r="F1391" s="11">
        <f>ROUNDUP(E1391*Controls!$B$4,4)</f>
        <v/>
      </c>
      <c r="G1391" s="12">
        <f>F1391/E1391</f>
        <v/>
      </c>
      <c r="H1391" s="10">
        <f>(A1391-B1391-(D1391-1))/(A1391-(D1391-1))</f>
        <v/>
      </c>
      <c r="I1391" s="9">
        <f>A1391&amp;'x'&amp;B1391</f>
        <v/>
      </c>
      <c r="J1391" s="9">
        <f>IF(AND(G1391&gt;0.9,G1391&lt;1),"OK","CHECK")</f>
        <v/>
      </c>
    </row>
    <row r="1392">
      <c r="A1392" s="9" t="n">
        <v>49</v>
      </c>
      <c r="B1392" s="9" t="n">
        <v>7</v>
      </c>
      <c r="C1392" s="9" t="n">
        <v>42</v>
      </c>
      <c r="D1392" s="9" t="n">
        <v>30</v>
      </c>
      <c r="E1392" s="10">
        <f>COMBIN(A1392,D1392)/COMBIN(A1392-B1392,D1392)</f>
        <v/>
      </c>
      <c r="F1392" s="11">
        <f>ROUNDUP(E1392*Controls!$B$4,4)</f>
        <v/>
      </c>
      <c r="G1392" s="12">
        <f>F1392/E1392</f>
        <v/>
      </c>
      <c r="H1392" s="10">
        <f>(A1392-B1392-(D1392-1))/(A1392-(D1392-1))</f>
        <v/>
      </c>
      <c r="I1392" s="9">
        <f>A1392&amp;'x'&amp;B1392</f>
        <v/>
      </c>
      <c r="J1392" s="9">
        <f>IF(AND(G1392&gt;0.9,G1392&lt;1),"OK","CHECK")</f>
        <v/>
      </c>
    </row>
    <row r="1393">
      <c r="A1393" s="9" t="n">
        <v>49</v>
      </c>
      <c r="B1393" s="9" t="n">
        <v>7</v>
      </c>
      <c r="C1393" s="9" t="n">
        <v>42</v>
      </c>
      <c r="D1393" s="9" t="n">
        <v>31</v>
      </c>
      <c r="E1393" s="10">
        <f>COMBIN(A1393,D1393)/COMBIN(A1393-B1393,D1393)</f>
        <v/>
      </c>
      <c r="F1393" s="11">
        <f>ROUNDUP(E1393*Controls!$B$4,4)</f>
        <v/>
      </c>
      <c r="G1393" s="12">
        <f>F1393/E1393</f>
        <v/>
      </c>
      <c r="H1393" s="10">
        <f>(A1393-B1393-(D1393-1))/(A1393-(D1393-1))</f>
        <v/>
      </c>
      <c r="I1393" s="9">
        <f>A1393&amp;'x'&amp;B1393</f>
        <v/>
      </c>
      <c r="J1393" s="9">
        <f>IF(AND(G1393&gt;0.9,G1393&lt;1),"OK","CHECK")</f>
        <v/>
      </c>
    </row>
    <row r="1394">
      <c r="A1394" s="9" t="n">
        <v>49</v>
      </c>
      <c r="B1394" s="9" t="n">
        <v>7</v>
      </c>
      <c r="C1394" s="9" t="n">
        <v>42</v>
      </c>
      <c r="D1394" s="9" t="n">
        <v>32</v>
      </c>
      <c r="E1394" s="10">
        <f>COMBIN(A1394,D1394)/COMBIN(A1394-B1394,D1394)</f>
        <v/>
      </c>
      <c r="F1394" s="11">
        <f>ROUNDUP(E1394*Controls!$B$4,4)</f>
        <v/>
      </c>
      <c r="G1394" s="12">
        <f>F1394/E1394</f>
        <v/>
      </c>
      <c r="H1394" s="10">
        <f>(A1394-B1394-(D1394-1))/(A1394-(D1394-1))</f>
        <v/>
      </c>
      <c r="I1394" s="9">
        <f>A1394&amp;'x'&amp;B1394</f>
        <v/>
      </c>
      <c r="J1394" s="9">
        <f>IF(AND(G1394&gt;0.9,G1394&lt;1),"OK","CHECK")</f>
        <v/>
      </c>
    </row>
    <row r="1395">
      <c r="A1395" s="9" t="n">
        <v>49</v>
      </c>
      <c r="B1395" s="9" t="n">
        <v>7</v>
      </c>
      <c r="C1395" s="9" t="n">
        <v>42</v>
      </c>
      <c r="D1395" s="9" t="n">
        <v>33</v>
      </c>
      <c r="E1395" s="10">
        <f>COMBIN(A1395,D1395)/COMBIN(A1395-B1395,D1395)</f>
        <v/>
      </c>
      <c r="F1395" s="11">
        <f>ROUNDUP(E1395*Controls!$B$4,4)</f>
        <v/>
      </c>
      <c r="G1395" s="12">
        <f>F1395/E1395</f>
        <v/>
      </c>
      <c r="H1395" s="10">
        <f>(A1395-B1395-(D1395-1))/(A1395-(D1395-1))</f>
        <v/>
      </c>
      <c r="I1395" s="9">
        <f>A1395&amp;'x'&amp;B1395</f>
        <v/>
      </c>
      <c r="J1395" s="9">
        <f>IF(AND(G1395&gt;0.9,G1395&lt;1),"OK","CHECK")</f>
        <v/>
      </c>
    </row>
    <row r="1396">
      <c r="A1396" s="9" t="n">
        <v>49</v>
      </c>
      <c r="B1396" s="9" t="n">
        <v>7</v>
      </c>
      <c r="C1396" s="9" t="n">
        <v>42</v>
      </c>
      <c r="D1396" s="9" t="n">
        <v>34</v>
      </c>
      <c r="E1396" s="10">
        <f>COMBIN(A1396,D1396)/COMBIN(A1396-B1396,D1396)</f>
        <v/>
      </c>
      <c r="F1396" s="11">
        <f>ROUNDUP(E1396*Controls!$B$4,4)</f>
        <v/>
      </c>
      <c r="G1396" s="12">
        <f>F1396/E1396</f>
        <v/>
      </c>
      <c r="H1396" s="10">
        <f>(A1396-B1396-(D1396-1))/(A1396-(D1396-1))</f>
        <v/>
      </c>
      <c r="I1396" s="9">
        <f>A1396&amp;'x'&amp;B1396</f>
        <v/>
      </c>
      <c r="J1396" s="9">
        <f>IF(AND(G1396&gt;0.9,G1396&lt;1),"OK","CHECK")</f>
        <v/>
      </c>
    </row>
    <row r="1397">
      <c r="A1397" s="9" t="n">
        <v>49</v>
      </c>
      <c r="B1397" s="9" t="n">
        <v>7</v>
      </c>
      <c r="C1397" s="9" t="n">
        <v>42</v>
      </c>
      <c r="D1397" s="9" t="n">
        <v>35</v>
      </c>
      <c r="E1397" s="10">
        <f>COMBIN(A1397,D1397)/COMBIN(A1397-B1397,D1397)</f>
        <v/>
      </c>
      <c r="F1397" s="11">
        <f>ROUNDUP(E1397*Controls!$B$4,4)</f>
        <v/>
      </c>
      <c r="G1397" s="12">
        <f>F1397/E1397</f>
        <v/>
      </c>
      <c r="H1397" s="10">
        <f>(A1397-B1397-(D1397-1))/(A1397-(D1397-1))</f>
        <v/>
      </c>
      <c r="I1397" s="9">
        <f>A1397&amp;'x'&amp;B1397</f>
        <v/>
      </c>
      <c r="J1397" s="9">
        <f>IF(AND(G1397&gt;0.9,G1397&lt;1),"OK","CHECK")</f>
        <v/>
      </c>
    </row>
    <row r="1398">
      <c r="A1398" s="9" t="n">
        <v>49</v>
      </c>
      <c r="B1398" s="9" t="n">
        <v>7</v>
      </c>
      <c r="C1398" s="9" t="n">
        <v>42</v>
      </c>
      <c r="D1398" s="9" t="n">
        <v>36</v>
      </c>
      <c r="E1398" s="10">
        <f>COMBIN(A1398,D1398)/COMBIN(A1398-B1398,D1398)</f>
        <v/>
      </c>
      <c r="F1398" s="11">
        <f>ROUNDUP(E1398*Controls!$B$4,4)</f>
        <v/>
      </c>
      <c r="G1398" s="12">
        <f>F1398/E1398</f>
        <v/>
      </c>
      <c r="H1398" s="10">
        <f>(A1398-B1398-(D1398-1))/(A1398-(D1398-1))</f>
        <v/>
      </c>
      <c r="I1398" s="9">
        <f>A1398&amp;'x'&amp;B1398</f>
        <v/>
      </c>
      <c r="J1398" s="9">
        <f>IF(AND(G1398&gt;0.9,G1398&lt;1),"OK","CHECK")</f>
        <v/>
      </c>
    </row>
    <row r="1399">
      <c r="A1399" s="9" t="n">
        <v>49</v>
      </c>
      <c r="B1399" s="9" t="n">
        <v>7</v>
      </c>
      <c r="C1399" s="9" t="n">
        <v>42</v>
      </c>
      <c r="D1399" s="9" t="n">
        <v>37</v>
      </c>
      <c r="E1399" s="10">
        <f>COMBIN(A1399,D1399)/COMBIN(A1399-B1399,D1399)</f>
        <v/>
      </c>
      <c r="F1399" s="11">
        <f>ROUNDUP(E1399*Controls!$B$4,4)</f>
        <v/>
      </c>
      <c r="G1399" s="12">
        <f>F1399/E1399</f>
        <v/>
      </c>
      <c r="H1399" s="10">
        <f>(A1399-B1399-(D1399-1))/(A1399-(D1399-1))</f>
        <v/>
      </c>
      <c r="I1399" s="9">
        <f>A1399&amp;'x'&amp;B1399</f>
        <v/>
      </c>
      <c r="J1399" s="9">
        <f>IF(AND(G1399&gt;0.9,G1399&lt;1),"OK","CHECK")</f>
        <v/>
      </c>
    </row>
    <row r="1400">
      <c r="A1400" s="9" t="n">
        <v>49</v>
      </c>
      <c r="B1400" s="9" t="n">
        <v>7</v>
      </c>
      <c r="C1400" s="9" t="n">
        <v>42</v>
      </c>
      <c r="D1400" s="9" t="n">
        <v>38</v>
      </c>
      <c r="E1400" s="10">
        <f>COMBIN(A1400,D1400)/COMBIN(A1400-B1400,D1400)</f>
        <v/>
      </c>
      <c r="F1400" s="11">
        <f>ROUNDUP(E1400*Controls!$B$4,4)</f>
        <v/>
      </c>
      <c r="G1400" s="12">
        <f>F1400/E1400</f>
        <v/>
      </c>
      <c r="H1400" s="10">
        <f>(A1400-B1400-(D1400-1))/(A1400-(D1400-1))</f>
        <v/>
      </c>
      <c r="I1400" s="9">
        <f>A1400&amp;'x'&amp;B1400</f>
        <v/>
      </c>
      <c r="J1400" s="9">
        <f>IF(AND(G1400&gt;0.9,G1400&lt;1),"OK","CHECK")</f>
        <v/>
      </c>
    </row>
    <row r="1401">
      <c r="A1401" s="9" t="n">
        <v>49</v>
      </c>
      <c r="B1401" s="9" t="n">
        <v>7</v>
      </c>
      <c r="C1401" s="9" t="n">
        <v>42</v>
      </c>
      <c r="D1401" s="9" t="n">
        <v>39</v>
      </c>
      <c r="E1401" s="10">
        <f>COMBIN(A1401,D1401)/COMBIN(A1401-B1401,D1401)</f>
        <v/>
      </c>
      <c r="F1401" s="11">
        <f>ROUNDUP(E1401*Controls!$B$4,4)</f>
        <v/>
      </c>
      <c r="G1401" s="12">
        <f>F1401/E1401</f>
        <v/>
      </c>
      <c r="H1401" s="10">
        <f>(A1401-B1401-(D1401-1))/(A1401-(D1401-1))</f>
        <v/>
      </c>
      <c r="I1401" s="9">
        <f>A1401&amp;'x'&amp;B1401</f>
        <v/>
      </c>
      <c r="J1401" s="9">
        <f>IF(AND(G1401&gt;0.9,G1401&lt;1),"OK","CHECK")</f>
        <v/>
      </c>
    </row>
    <row r="1402">
      <c r="A1402" s="9" t="n">
        <v>49</v>
      </c>
      <c r="B1402" s="9" t="n">
        <v>7</v>
      </c>
      <c r="C1402" s="9" t="n">
        <v>42</v>
      </c>
      <c r="D1402" s="9" t="n">
        <v>40</v>
      </c>
      <c r="E1402" s="10">
        <f>COMBIN(A1402,D1402)/COMBIN(A1402-B1402,D1402)</f>
        <v/>
      </c>
      <c r="F1402" s="11">
        <f>ROUNDUP(E1402*Controls!$B$4,4)</f>
        <v/>
      </c>
      <c r="G1402" s="12">
        <f>F1402/E1402</f>
        <v/>
      </c>
      <c r="H1402" s="10">
        <f>(A1402-B1402-(D1402-1))/(A1402-(D1402-1))</f>
        <v/>
      </c>
      <c r="I1402" s="9">
        <f>A1402&amp;'x'&amp;B1402</f>
        <v/>
      </c>
      <c r="J1402" s="9">
        <f>IF(AND(G1402&gt;0.9,G1402&lt;1),"OK","CHECK")</f>
        <v/>
      </c>
    </row>
    <row r="1403">
      <c r="A1403" s="9" t="n">
        <v>49</v>
      </c>
      <c r="B1403" s="9" t="n">
        <v>7</v>
      </c>
      <c r="C1403" s="9" t="n">
        <v>42</v>
      </c>
      <c r="D1403" s="9" t="n">
        <v>41</v>
      </c>
      <c r="E1403" s="10">
        <f>COMBIN(A1403,D1403)/COMBIN(A1403-B1403,D1403)</f>
        <v/>
      </c>
      <c r="F1403" s="11">
        <f>ROUNDUP(E1403*Controls!$B$4,4)</f>
        <v/>
      </c>
      <c r="G1403" s="12">
        <f>F1403/E1403</f>
        <v/>
      </c>
      <c r="H1403" s="10">
        <f>(A1403-B1403-(D1403-1))/(A1403-(D1403-1))</f>
        <v/>
      </c>
      <c r="I1403" s="9">
        <f>A1403&amp;'x'&amp;B1403</f>
        <v/>
      </c>
      <c r="J1403" s="9">
        <f>IF(AND(G1403&gt;0.9,G1403&lt;1),"OK","CHECK")</f>
        <v/>
      </c>
    </row>
    <row r="1404">
      <c r="A1404" s="9" t="n">
        <v>49</v>
      </c>
      <c r="B1404" s="9" t="n">
        <v>7</v>
      </c>
      <c r="C1404" s="9" t="n">
        <v>42</v>
      </c>
      <c r="D1404" s="9" t="n">
        <v>42</v>
      </c>
      <c r="E1404" s="10">
        <f>COMBIN(A1404,D1404)/COMBIN(A1404-B1404,D1404)</f>
        <v/>
      </c>
      <c r="F1404" s="11">
        <f>ROUNDUP(E1404*Controls!$B$4,4)</f>
        <v/>
      </c>
      <c r="G1404" s="12">
        <f>F1404/E1404</f>
        <v/>
      </c>
      <c r="H1404" s="10">
        <f>(A1404-B1404-(D1404-1))/(A1404-(D1404-1))</f>
        <v/>
      </c>
      <c r="I1404" s="9">
        <f>A1404&amp;'x'&amp;B1404</f>
        <v/>
      </c>
      <c r="J1404" s="9">
        <f>IF(AND(G1404&gt;0.9,G1404&lt;1),"OK","CHECK")</f>
        <v/>
      </c>
    </row>
    <row r="1405">
      <c r="A1405" s="9" t="n">
        <v>49</v>
      </c>
      <c r="B1405" s="9" t="n">
        <v>8</v>
      </c>
      <c r="C1405" s="9" t="n">
        <v>41</v>
      </c>
      <c r="D1405" s="9" t="n">
        <v>1</v>
      </c>
      <c r="E1405" s="10">
        <f>COMBIN(A1405,D1405)/COMBIN(A1405-B1405,D1405)</f>
        <v/>
      </c>
      <c r="F1405" s="11">
        <f>ROUNDUP(E1405*Controls!$B$4,4)</f>
        <v/>
      </c>
      <c r="G1405" s="12">
        <f>F1405/E1405</f>
        <v/>
      </c>
      <c r="H1405" s="10">
        <f>(A1405-B1405-(D1405-1))/(A1405-(D1405-1))</f>
        <v/>
      </c>
      <c r="I1405" s="9">
        <f>A1405&amp;'x'&amp;B1405</f>
        <v/>
      </c>
      <c r="J1405" s="9">
        <f>IF(AND(G1405&gt;0.9,G1405&lt;1),"OK","CHECK")</f>
        <v/>
      </c>
    </row>
    <row r="1406">
      <c r="A1406" s="9" t="n">
        <v>49</v>
      </c>
      <c r="B1406" s="9" t="n">
        <v>8</v>
      </c>
      <c r="C1406" s="9" t="n">
        <v>41</v>
      </c>
      <c r="D1406" s="9" t="n">
        <v>2</v>
      </c>
      <c r="E1406" s="10">
        <f>COMBIN(A1406,D1406)/COMBIN(A1406-B1406,D1406)</f>
        <v/>
      </c>
      <c r="F1406" s="11">
        <f>ROUNDUP(E1406*Controls!$B$4,4)</f>
        <v/>
      </c>
      <c r="G1406" s="12">
        <f>F1406/E1406</f>
        <v/>
      </c>
      <c r="H1406" s="10">
        <f>(A1406-B1406-(D1406-1))/(A1406-(D1406-1))</f>
        <v/>
      </c>
      <c r="I1406" s="9">
        <f>A1406&amp;'x'&amp;B1406</f>
        <v/>
      </c>
      <c r="J1406" s="9">
        <f>IF(AND(G1406&gt;0.9,G1406&lt;1),"OK","CHECK")</f>
        <v/>
      </c>
    </row>
    <row r="1407">
      <c r="A1407" s="9" t="n">
        <v>49</v>
      </c>
      <c r="B1407" s="9" t="n">
        <v>8</v>
      </c>
      <c r="C1407" s="9" t="n">
        <v>41</v>
      </c>
      <c r="D1407" s="9" t="n">
        <v>3</v>
      </c>
      <c r="E1407" s="10">
        <f>COMBIN(A1407,D1407)/COMBIN(A1407-B1407,D1407)</f>
        <v/>
      </c>
      <c r="F1407" s="11">
        <f>ROUNDUP(E1407*Controls!$B$4,4)</f>
        <v/>
      </c>
      <c r="G1407" s="12">
        <f>F1407/E1407</f>
        <v/>
      </c>
      <c r="H1407" s="10">
        <f>(A1407-B1407-(D1407-1))/(A1407-(D1407-1))</f>
        <v/>
      </c>
      <c r="I1407" s="9">
        <f>A1407&amp;'x'&amp;B1407</f>
        <v/>
      </c>
      <c r="J1407" s="9">
        <f>IF(AND(G1407&gt;0.9,G1407&lt;1),"OK","CHECK")</f>
        <v/>
      </c>
    </row>
    <row r="1408">
      <c r="A1408" s="9" t="n">
        <v>49</v>
      </c>
      <c r="B1408" s="9" t="n">
        <v>8</v>
      </c>
      <c r="C1408" s="9" t="n">
        <v>41</v>
      </c>
      <c r="D1408" s="9" t="n">
        <v>4</v>
      </c>
      <c r="E1408" s="10">
        <f>COMBIN(A1408,D1408)/COMBIN(A1408-B1408,D1408)</f>
        <v/>
      </c>
      <c r="F1408" s="11">
        <f>ROUNDUP(E1408*Controls!$B$4,4)</f>
        <v/>
      </c>
      <c r="G1408" s="12">
        <f>F1408/E1408</f>
        <v/>
      </c>
      <c r="H1408" s="10">
        <f>(A1408-B1408-(D1408-1))/(A1408-(D1408-1))</f>
        <v/>
      </c>
      <c r="I1408" s="9">
        <f>A1408&amp;'x'&amp;B1408</f>
        <v/>
      </c>
      <c r="J1408" s="9">
        <f>IF(AND(G1408&gt;0.9,G1408&lt;1),"OK","CHECK")</f>
        <v/>
      </c>
    </row>
    <row r="1409">
      <c r="A1409" s="9" t="n">
        <v>49</v>
      </c>
      <c r="B1409" s="9" t="n">
        <v>8</v>
      </c>
      <c r="C1409" s="9" t="n">
        <v>41</v>
      </c>
      <c r="D1409" s="9" t="n">
        <v>5</v>
      </c>
      <c r="E1409" s="10">
        <f>COMBIN(A1409,D1409)/COMBIN(A1409-B1409,D1409)</f>
        <v/>
      </c>
      <c r="F1409" s="11">
        <f>ROUNDUP(E1409*Controls!$B$4,4)</f>
        <v/>
      </c>
      <c r="G1409" s="12">
        <f>F1409/E1409</f>
        <v/>
      </c>
      <c r="H1409" s="10">
        <f>(A1409-B1409-(D1409-1))/(A1409-(D1409-1))</f>
        <v/>
      </c>
      <c r="I1409" s="9">
        <f>A1409&amp;'x'&amp;B1409</f>
        <v/>
      </c>
      <c r="J1409" s="9">
        <f>IF(AND(G1409&gt;0.9,G1409&lt;1),"OK","CHECK")</f>
        <v/>
      </c>
    </row>
    <row r="1410">
      <c r="A1410" s="9" t="n">
        <v>49</v>
      </c>
      <c r="B1410" s="9" t="n">
        <v>8</v>
      </c>
      <c r="C1410" s="9" t="n">
        <v>41</v>
      </c>
      <c r="D1410" s="9" t="n">
        <v>6</v>
      </c>
      <c r="E1410" s="10">
        <f>COMBIN(A1410,D1410)/COMBIN(A1410-B1410,D1410)</f>
        <v/>
      </c>
      <c r="F1410" s="11">
        <f>ROUNDUP(E1410*Controls!$B$4,4)</f>
        <v/>
      </c>
      <c r="G1410" s="12">
        <f>F1410/E1410</f>
        <v/>
      </c>
      <c r="H1410" s="10">
        <f>(A1410-B1410-(D1410-1))/(A1410-(D1410-1))</f>
        <v/>
      </c>
      <c r="I1410" s="9">
        <f>A1410&amp;'x'&amp;B1410</f>
        <v/>
      </c>
      <c r="J1410" s="9">
        <f>IF(AND(G1410&gt;0.9,G1410&lt;1),"OK","CHECK")</f>
        <v/>
      </c>
    </row>
    <row r="1411">
      <c r="A1411" s="9" t="n">
        <v>49</v>
      </c>
      <c r="B1411" s="9" t="n">
        <v>8</v>
      </c>
      <c r="C1411" s="9" t="n">
        <v>41</v>
      </c>
      <c r="D1411" s="9" t="n">
        <v>7</v>
      </c>
      <c r="E1411" s="10">
        <f>COMBIN(A1411,D1411)/COMBIN(A1411-B1411,D1411)</f>
        <v/>
      </c>
      <c r="F1411" s="11">
        <f>ROUNDUP(E1411*Controls!$B$4,4)</f>
        <v/>
      </c>
      <c r="G1411" s="12">
        <f>F1411/E1411</f>
        <v/>
      </c>
      <c r="H1411" s="10">
        <f>(A1411-B1411-(D1411-1))/(A1411-(D1411-1))</f>
        <v/>
      </c>
      <c r="I1411" s="9">
        <f>A1411&amp;'x'&amp;B1411</f>
        <v/>
      </c>
      <c r="J1411" s="9">
        <f>IF(AND(G1411&gt;0.9,G1411&lt;1),"OK","CHECK")</f>
        <v/>
      </c>
    </row>
    <row r="1412">
      <c r="A1412" s="9" t="n">
        <v>49</v>
      </c>
      <c r="B1412" s="9" t="n">
        <v>8</v>
      </c>
      <c r="C1412" s="9" t="n">
        <v>41</v>
      </c>
      <c r="D1412" s="9" t="n">
        <v>8</v>
      </c>
      <c r="E1412" s="10">
        <f>COMBIN(A1412,D1412)/COMBIN(A1412-B1412,D1412)</f>
        <v/>
      </c>
      <c r="F1412" s="11">
        <f>ROUNDUP(E1412*Controls!$B$4,4)</f>
        <v/>
      </c>
      <c r="G1412" s="12">
        <f>F1412/E1412</f>
        <v/>
      </c>
      <c r="H1412" s="10">
        <f>(A1412-B1412-(D1412-1))/(A1412-(D1412-1))</f>
        <v/>
      </c>
      <c r="I1412" s="9">
        <f>A1412&amp;'x'&amp;B1412</f>
        <v/>
      </c>
      <c r="J1412" s="9">
        <f>IF(AND(G1412&gt;0.9,G1412&lt;1),"OK","CHECK")</f>
        <v/>
      </c>
    </row>
    <row r="1413">
      <c r="A1413" s="9" t="n">
        <v>49</v>
      </c>
      <c r="B1413" s="9" t="n">
        <v>8</v>
      </c>
      <c r="C1413" s="9" t="n">
        <v>41</v>
      </c>
      <c r="D1413" s="9" t="n">
        <v>9</v>
      </c>
      <c r="E1413" s="10">
        <f>COMBIN(A1413,D1413)/COMBIN(A1413-B1413,D1413)</f>
        <v/>
      </c>
      <c r="F1413" s="11">
        <f>ROUNDUP(E1413*Controls!$B$4,4)</f>
        <v/>
      </c>
      <c r="G1413" s="12">
        <f>F1413/E1413</f>
        <v/>
      </c>
      <c r="H1413" s="10">
        <f>(A1413-B1413-(D1413-1))/(A1413-(D1413-1))</f>
        <v/>
      </c>
      <c r="I1413" s="9">
        <f>A1413&amp;'x'&amp;B1413</f>
        <v/>
      </c>
      <c r="J1413" s="9">
        <f>IF(AND(G1413&gt;0.9,G1413&lt;1),"OK","CHECK")</f>
        <v/>
      </c>
    </row>
    <row r="1414">
      <c r="A1414" s="9" t="n">
        <v>49</v>
      </c>
      <c r="B1414" s="9" t="n">
        <v>8</v>
      </c>
      <c r="C1414" s="9" t="n">
        <v>41</v>
      </c>
      <c r="D1414" s="9" t="n">
        <v>10</v>
      </c>
      <c r="E1414" s="10">
        <f>COMBIN(A1414,D1414)/COMBIN(A1414-B1414,D1414)</f>
        <v/>
      </c>
      <c r="F1414" s="11">
        <f>ROUNDUP(E1414*Controls!$B$4,4)</f>
        <v/>
      </c>
      <c r="G1414" s="12">
        <f>F1414/E1414</f>
        <v/>
      </c>
      <c r="H1414" s="10">
        <f>(A1414-B1414-(D1414-1))/(A1414-(D1414-1))</f>
        <v/>
      </c>
      <c r="I1414" s="9">
        <f>A1414&amp;'x'&amp;B1414</f>
        <v/>
      </c>
      <c r="J1414" s="9">
        <f>IF(AND(G1414&gt;0.9,G1414&lt;1),"OK","CHECK")</f>
        <v/>
      </c>
    </row>
    <row r="1415">
      <c r="A1415" s="9" t="n">
        <v>49</v>
      </c>
      <c r="B1415" s="9" t="n">
        <v>8</v>
      </c>
      <c r="C1415" s="9" t="n">
        <v>41</v>
      </c>
      <c r="D1415" s="9" t="n">
        <v>11</v>
      </c>
      <c r="E1415" s="10">
        <f>COMBIN(A1415,D1415)/COMBIN(A1415-B1415,D1415)</f>
        <v/>
      </c>
      <c r="F1415" s="11">
        <f>ROUNDUP(E1415*Controls!$B$4,4)</f>
        <v/>
      </c>
      <c r="G1415" s="12">
        <f>F1415/E1415</f>
        <v/>
      </c>
      <c r="H1415" s="10">
        <f>(A1415-B1415-(D1415-1))/(A1415-(D1415-1))</f>
        <v/>
      </c>
      <c r="I1415" s="9">
        <f>A1415&amp;'x'&amp;B1415</f>
        <v/>
      </c>
      <c r="J1415" s="9">
        <f>IF(AND(G1415&gt;0.9,G1415&lt;1),"OK","CHECK")</f>
        <v/>
      </c>
    </row>
    <row r="1416">
      <c r="A1416" s="9" t="n">
        <v>49</v>
      </c>
      <c r="B1416" s="9" t="n">
        <v>8</v>
      </c>
      <c r="C1416" s="9" t="n">
        <v>41</v>
      </c>
      <c r="D1416" s="9" t="n">
        <v>12</v>
      </c>
      <c r="E1416" s="10">
        <f>COMBIN(A1416,D1416)/COMBIN(A1416-B1416,D1416)</f>
        <v/>
      </c>
      <c r="F1416" s="11">
        <f>ROUNDUP(E1416*Controls!$B$4,4)</f>
        <v/>
      </c>
      <c r="G1416" s="12">
        <f>F1416/E1416</f>
        <v/>
      </c>
      <c r="H1416" s="10">
        <f>(A1416-B1416-(D1416-1))/(A1416-(D1416-1))</f>
        <v/>
      </c>
      <c r="I1416" s="9">
        <f>A1416&amp;'x'&amp;B1416</f>
        <v/>
      </c>
      <c r="J1416" s="9">
        <f>IF(AND(G1416&gt;0.9,G1416&lt;1),"OK","CHECK")</f>
        <v/>
      </c>
    </row>
    <row r="1417">
      <c r="A1417" s="9" t="n">
        <v>49</v>
      </c>
      <c r="B1417" s="9" t="n">
        <v>8</v>
      </c>
      <c r="C1417" s="9" t="n">
        <v>41</v>
      </c>
      <c r="D1417" s="9" t="n">
        <v>13</v>
      </c>
      <c r="E1417" s="10">
        <f>COMBIN(A1417,D1417)/COMBIN(A1417-B1417,D1417)</f>
        <v/>
      </c>
      <c r="F1417" s="11">
        <f>ROUNDUP(E1417*Controls!$B$4,4)</f>
        <v/>
      </c>
      <c r="G1417" s="12">
        <f>F1417/E1417</f>
        <v/>
      </c>
      <c r="H1417" s="10">
        <f>(A1417-B1417-(D1417-1))/(A1417-(D1417-1))</f>
        <v/>
      </c>
      <c r="I1417" s="9">
        <f>A1417&amp;'x'&amp;B1417</f>
        <v/>
      </c>
      <c r="J1417" s="9">
        <f>IF(AND(G1417&gt;0.9,G1417&lt;1),"OK","CHECK")</f>
        <v/>
      </c>
    </row>
    <row r="1418">
      <c r="A1418" s="9" t="n">
        <v>49</v>
      </c>
      <c r="B1418" s="9" t="n">
        <v>8</v>
      </c>
      <c r="C1418" s="9" t="n">
        <v>41</v>
      </c>
      <c r="D1418" s="9" t="n">
        <v>14</v>
      </c>
      <c r="E1418" s="10">
        <f>COMBIN(A1418,D1418)/COMBIN(A1418-B1418,D1418)</f>
        <v/>
      </c>
      <c r="F1418" s="11">
        <f>ROUNDUP(E1418*Controls!$B$4,4)</f>
        <v/>
      </c>
      <c r="G1418" s="12">
        <f>F1418/E1418</f>
        <v/>
      </c>
      <c r="H1418" s="10">
        <f>(A1418-B1418-(D1418-1))/(A1418-(D1418-1))</f>
        <v/>
      </c>
      <c r="I1418" s="9">
        <f>A1418&amp;'x'&amp;B1418</f>
        <v/>
      </c>
      <c r="J1418" s="9">
        <f>IF(AND(G1418&gt;0.9,G1418&lt;1),"OK","CHECK")</f>
        <v/>
      </c>
    </row>
    <row r="1419">
      <c r="A1419" s="9" t="n">
        <v>49</v>
      </c>
      <c r="B1419" s="9" t="n">
        <v>8</v>
      </c>
      <c r="C1419" s="9" t="n">
        <v>41</v>
      </c>
      <c r="D1419" s="9" t="n">
        <v>15</v>
      </c>
      <c r="E1419" s="10">
        <f>COMBIN(A1419,D1419)/COMBIN(A1419-B1419,D1419)</f>
        <v/>
      </c>
      <c r="F1419" s="11">
        <f>ROUNDUP(E1419*Controls!$B$4,4)</f>
        <v/>
      </c>
      <c r="G1419" s="12">
        <f>F1419/E1419</f>
        <v/>
      </c>
      <c r="H1419" s="10">
        <f>(A1419-B1419-(D1419-1))/(A1419-(D1419-1))</f>
        <v/>
      </c>
      <c r="I1419" s="9">
        <f>A1419&amp;'x'&amp;B1419</f>
        <v/>
      </c>
      <c r="J1419" s="9">
        <f>IF(AND(G1419&gt;0.9,G1419&lt;1),"OK","CHECK")</f>
        <v/>
      </c>
    </row>
    <row r="1420">
      <c r="A1420" s="9" t="n">
        <v>49</v>
      </c>
      <c r="B1420" s="9" t="n">
        <v>8</v>
      </c>
      <c r="C1420" s="9" t="n">
        <v>41</v>
      </c>
      <c r="D1420" s="9" t="n">
        <v>16</v>
      </c>
      <c r="E1420" s="10">
        <f>COMBIN(A1420,D1420)/COMBIN(A1420-B1420,D1420)</f>
        <v/>
      </c>
      <c r="F1420" s="11">
        <f>ROUNDUP(E1420*Controls!$B$4,4)</f>
        <v/>
      </c>
      <c r="G1420" s="12">
        <f>F1420/E1420</f>
        <v/>
      </c>
      <c r="H1420" s="10">
        <f>(A1420-B1420-(D1420-1))/(A1420-(D1420-1))</f>
        <v/>
      </c>
      <c r="I1420" s="9">
        <f>A1420&amp;'x'&amp;B1420</f>
        <v/>
      </c>
      <c r="J1420" s="9">
        <f>IF(AND(G1420&gt;0.9,G1420&lt;1),"OK","CHECK")</f>
        <v/>
      </c>
    </row>
    <row r="1421">
      <c r="A1421" s="9" t="n">
        <v>49</v>
      </c>
      <c r="B1421" s="9" t="n">
        <v>8</v>
      </c>
      <c r="C1421" s="9" t="n">
        <v>41</v>
      </c>
      <c r="D1421" s="9" t="n">
        <v>17</v>
      </c>
      <c r="E1421" s="10">
        <f>COMBIN(A1421,D1421)/COMBIN(A1421-B1421,D1421)</f>
        <v/>
      </c>
      <c r="F1421" s="11">
        <f>ROUNDUP(E1421*Controls!$B$4,4)</f>
        <v/>
      </c>
      <c r="G1421" s="12">
        <f>F1421/E1421</f>
        <v/>
      </c>
      <c r="H1421" s="10">
        <f>(A1421-B1421-(D1421-1))/(A1421-(D1421-1))</f>
        <v/>
      </c>
      <c r="I1421" s="9">
        <f>A1421&amp;'x'&amp;B1421</f>
        <v/>
      </c>
      <c r="J1421" s="9">
        <f>IF(AND(G1421&gt;0.9,G1421&lt;1),"OK","CHECK")</f>
        <v/>
      </c>
    </row>
    <row r="1422">
      <c r="A1422" s="9" t="n">
        <v>49</v>
      </c>
      <c r="B1422" s="9" t="n">
        <v>8</v>
      </c>
      <c r="C1422" s="9" t="n">
        <v>41</v>
      </c>
      <c r="D1422" s="9" t="n">
        <v>18</v>
      </c>
      <c r="E1422" s="10">
        <f>COMBIN(A1422,D1422)/COMBIN(A1422-B1422,D1422)</f>
        <v/>
      </c>
      <c r="F1422" s="11">
        <f>ROUNDUP(E1422*Controls!$B$4,4)</f>
        <v/>
      </c>
      <c r="G1422" s="12">
        <f>F1422/E1422</f>
        <v/>
      </c>
      <c r="H1422" s="10">
        <f>(A1422-B1422-(D1422-1))/(A1422-(D1422-1))</f>
        <v/>
      </c>
      <c r="I1422" s="9">
        <f>A1422&amp;'x'&amp;B1422</f>
        <v/>
      </c>
      <c r="J1422" s="9">
        <f>IF(AND(G1422&gt;0.9,G1422&lt;1),"OK","CHECK")</f>
        <v/>
      </c>
    </row>
    <row r="1423">
      <c r="A1423" s="9" t="n">
        <v>49</v>
      </c>
      <c r="B1423" s="9" t="n">
        <v>8</v>
      </c>
      <c r="C1423" s="9" t="n">
        <v>41</v>
      </c>
      <c r="D1423" s="9" t="n">
        <v>19</v>
      </c>
      <c r="E1423" s="10">
        <f>COMBIN(A1423,D1423)/COMBIN(A1423-B1423,D1423)</f>
        <v/>
      </c>
      <c r="F1423" s="11">
        <f>ROUNDUP(E1423*Controls!$B$4,4)</f>
        <v/>
      </c>
      <c r="G1423" s="12">
        <f>F1423/E1423</f>
        <v/>
      </c>
      <c r="H1423" s="10">
        <f>(A1423-B1423-(D1423-1))/(A1423-(D1423-1))</f>
        <v/>
      </c>
      <c r="I1423" s="9">
        <f>A1423&amp;'x'&amp;B1423</f>
        <v/>
      </c>
      <c r="J1423" s="9">
        <f>IF(AND(G1423&gt;0.9,G1423&lt;1),"OK","CHECK")</f>
        <v/>
      </c>
    </row>
    <row r="1424">
      <c r="A1424" s="9" t="n">
        <v>49</v>
      </c>
      <c r="B1424" s="9" t="n">
        <v>8</v>
      </c>
      <c r="C1424" s="9" t="n">
        <v>41</v>
      </c>
      <c r="D1424" s="9" t="n">
        <v>20</v>
      </c>
      <c r="E1424" s="10">
        <f>COMBIN(A1424,D1424)/COMBIN(A1424-B1424,D1424)</f>
        <v/>
      </c>
      <c r="F1424" s="11">
        <f>ROUNDUP(E1424*Controls!$B$4,4)</f>
        <v/>
      </c>
      <c r="G1424" s="12">
        <f>F1424/E1424</f>
        <v/>
      </c>
      <c r="H1424" s="10">
        <f>(A1424-B1424-(D1424-1))/(A1424-(D1424-1))</f>
        <v/>
      </c>
      <c r="I1424" s="9">
        <f>A1424&amp;'x'&amp;B1424</f>
        <v/>
      </c>
      <c r="J1424" s="9">
        <f>IF(AND(G1424&gt;0.9,G1424&lt;1),"OK","CHECK")</f>
        <v/>
      </c>
    </row>
    <row r="1425">
      <c r="A1425" s="9" t="n">
        <v>49</v>
      </c>
      <c r="B1425" s="9" t="n">
        <v>8</v>
      </c>
      <c r="C1425" s="9" t="n">
        <v>41</v>
      </c>
      <c r="D1425" s="9" t="n">
        <v>21</v>
      </c>
      <c r="E1425" s="10">
        <f>COMBIN(A1425,D1425)/COMBIN(A1425-B1425,D1425)</f>
        <v/>
      </c>
      <c r="F1425" s="11">
        <f>ROUNDUP(E1425*Controls!$B$4,4)</f>
        <v/>
      </c>
      <c r="G1425" s="12">
        <f>F1425/E1425</f>
        <v/>
      </c>
      <c r="H1425" s="10">
        <f>(A1425-B1425-(D1425-1))/(A1425-(D1425-1))</f>
        <v/>
      </c>
      <c r="I1425" s="9">
        <f>A1425&amp;'x'&amp;B1425</f>
        <v/>
      </c>
      <c r="J1425" s="9">
        <f>IF(AND(G1425&gt;0.9,G1425&lt;1),"OK","CHECK")</f>
        <v/>
      </c>
    </row>
    <row r="1426">
      <c r="A1426" s="9" t="n">
        <v>49</v>
      </c>
      <c r="B1426" s="9" t="n">
        <v>8</v>
      </c>
      <c r="C1426" s="9" t="n">
        <v>41</v>
      </c>
      <c r="D1426" s="9" t="n">
        <v>22</v>
      </c>
      <c r="E1426" s="10">
        <f>COMBIN(A1426,D1426)/COMBIN(A1426-B1426,D1426)</f>
        <v/>
      </c>
      <c r="F1426" s="11">
        <f>ROUNDUP(E1426*Controls!$B$4,4)</f>
        <v/>
      </c>
      <c r="G1426" s="12">
        <f>F1426/E1426</f>
        <v/>
      </c>
      <c r="H1426" s="10">
        <f>(A1426-B1426-(D1426-1))/(A1426-(D1426-1))</f>
        <v/>
      </c>
      <c r="I1426" s="9">
        <f>A1426&amp;'x'&amp;B1426</f>
        <v/>
      </c>
      <c r="J1426" s="9">
        <f>IF(AND(G1426&gt;0.9,G1426&lt;1),"OK","CHECK")</f>
        <v/>
      </c>
    </row>
    <row r="1427">
      <c r="A1427" s="9" t="n">
        <v>49</v>
      </c>
      <c r="B1427" s="9" t="n">
        <v>8</v>
      </c>
      <c r="C1427" s="9" t="n">
        <v>41</v>
      </c>
      <c r="D1427" s="9" t="n">
        <v>23</v>
      </c>
      <c r="E1427" s="10">
        <f>COMBIN(A1427,D1427)/COMBIN(A1427-B1427,D1427)</f>
        <v/>
      </c>
      <c r="F1427" s="11">
        <f>ROUNDUP(E1427*Controls!$B$4,4)</f>
        <v/>
      </c>
      <c r="G1427" s="12">
        <f>F1427/E1427</f>
        <v/>
      </c>
      <c r="H1427" s="10">
        <f>(A1427-B1427-(D1427-1))/(A1427-(D1427-1))</f>
        <v/>
      </c>
      <c r="I1427" s="9">
        <f>A1427&amp;'x'&amp;B1427</f>
        <v/>
      </c>
      <c r="J1427" s="9">
        <f>IF(AND(G1427&gt;0.9,G1427&lt;1),"OK","CHECK")</f>
        <v/>
      </c>
    </row>
    <row r="1428">
      <c r="A1428" s="9" t="n">
        <v>49</v>
      </c>
      <c r="B1428" s="9" t="n">
        <v>8</v>
      </c>
      <c r="C1428" s="9" t="n">
        <v>41</v>
      </c>
      <c r="D1428" s="9" t="n">
        <v>24</v>
      </c>
      <c r="E1428" s="10">
        <f>COMBIN(A1428,D1428)/COMBIN(A1428-B1428,D1428)</f>
        <v/>
      </c>
      <c r="F1428" s="11">
        <f>ROUNDUP(E1428*Controls!$B$4,4)</f>
        <v/>
      </c>
      <c r="G1428" s="12">
        <f>F1428/E1428</f>
        <v/>
      </c>
      <c r="H1428" s="10">
        <f>(A1428-B1428-(D1428-1))/(A1428-(D1428-1))</f>
        <v/>
      </c>
      <c r="I1428" s="9">
        <f>A1428&amp;'x'&amp;B1428</f>
        <v/>
      </c>
      <c r="J1428" s="9">
        <f>IF(AND(G1428&gt;0.9,G1428&lt;1),"OK","CHECK")</f>
        <v/>
      </c>
    </row>
    <row r="1429">
      <c r="A1429" s="9" t="n">
        <v>49</v>
      </c>
      <c r="B1429" s="9" t="n">
        <v>8</v>
      </c>
      <c r="C1429" s="9" t="n">
        <v>41</v>
      </c>
      <c r="D1429" s="9" t="n">
        <v>25</v>
      </c>
      <c r="E1429" s="10">
        <f>COMBIN(A1429,D1429)/COMBIN(A1429-B1429,D1429)</f>
        <v/>
      </c>
      <c r="F1429" s="11">
        <f>ROUNDUP(E1429*Controls!$B$4,4)</f>
        <v/>
      </c>
      <c r="G1429" s="12">
        <f>F1429/E1429</f>
        <v/>
      </c>
      <c r="H1429" s="10">
        <f>(A1429-B1429-(D1429-1))/(A1429-(D1429-1))</f>
        <v/>
      </c>
      <c r="I1429" s="9">
        <f>A1429&amp;'x'&amp;B1429</f>
        <v/>
      </c>
      <c r="J1429" s="9">
        <f>IF(AND(G1429&gt;0.9,G1429&lt;1),"OK","CHECK")</f>
        <v/>
      </c>
    </row>
    <row r="1430">
      <c r="A1430" s="9" t="n">
        <v>49</v>
      </c>
      <c r="B1430" s="9" t="n">
        <v>8</v>
      </c>
      <c r="C1430" s="9" t="n">
        <v>41</v>
      </c>
      <c r="D1430" s="9" t="n">
        <v>26</v>
      </c>
      <c r="E1430" s="10">
        <f>COMBIN(A1430,D1430)/COMBIN(A1430-B1430,D1430)</f>
        <v/>
      </c>
      <c r="F1430" s="11">
        <f>ROUNDUP(E1430*Controls!$B$4,4)</f>
        <v/>
      </c>
      <c r="G1430" s="12">
        <f>F1430/E1430</f>
        <v/>
      </c>
      <c r="H1430" s="10">
        <f>(A1430-B1430-(D1430-1))/(A1430-(D1430-1))</f>
        <v/>
      </c>
      <c r="I1430" s="9">
        <f>A1430&amp;'x'&amp;B1430</f>
        <v/>
      </c>
      <c r="J1430" s="9">
        <f>IF(AND(G1430&gt;0.9,G1430&lt;1),"OK","CHECK")</f>
        <v/>
      </c>
    </row>
    <row r="1431">
      <c r="A1431" s="9" t="n">
        <v>49</v>
      </c>
      <c r="B1431" s="9" t="n">
        <v>8</v>
      </c>
      <c r="C1431" s="9" t="n">
        <v>41</v>
      </c>
      <c r="D1431" s="9" t="n">
        <v>27</v>
      </c>
      <c r="E1431" s="10">
        <f>COMBIN(A1431,D1431)/COMBIN(A1431-B1431,D1431)</f>
        <v/>
      </c>
      <c r="F1431" s="11">
        <f>ROUNDUP(E1431*Controls!$B$4,4)</f>
        <v/>
      </c>
      <c r="G1431" s="12">
        <f>F1431/E1431</f>
        <v/>
      </c>
      <c r="H1431" s="10">
        <f>(A1431-B1431-(D1431-1))/(A1431-(D1431-1))</f>
        <v/>
      </c>
      <c r="I1431" s="9">
        <f>A1431&amp;'x'&amp;B1431</f>
        <v/>
      </c>
      <c r="J1431" s="9">
        <f>IF(AND(G1431&gt;0.9,G1431&lt;1),"OK","CHECK")</f>
        <v/>
      </c>
    </row>
    <row r="1432">
      <c r="A1432" s="9" t="n">
        <v>49</v>
      </c>
      <c r="B1432" s="9" t="n">
        <v>8</v>
      </c>
      <c r="C1432" s="9" t="n">
        <v>41</v>
      </c>
      <c r="D1432" s="9" t="n">
        <v>28</v>
      </c>
      <c r="E1432" s="10">
        <f>COMBIN(A1432,D1432)/COMBIN(A1432-B1432,D1432)</f>
        <v/>
      </c>
      <c r="F1432" s="11">
        <f>ROUNDUP(E1432*Controls!$B$4,4)</f>
        <v/>
      </c>
      <c r="G1432" s="12">
        <f>F1432/E1432</f>
        <v/>
      </c>
      <c r="H1432" s="10">
        <f>(A1432-B1432-(D1432-1))/(A1432-(D1432-1))</f>
        <v/>
      </c>
      <c r="I1432" s="9">
        <f>A1432&amp;'x'&amp;B1432</f>
        <v/>
      </c>
      <c r="J1432" s="9">
        <f>IF(AND(G1432&gt;0.9,G1432&lt;1),"OK","CHECK")</f>
        <v/>
      </c>
    </row>
    <row r="1433">
      <c r="A1433" s="9" t="n">
        <v>49</v>
      </c>
      <c r="B1433" s="9" t="n">
        <v>8</v>
      </c>
      <c r="C1433" s="9" t="n">
        <v>41</v>
      </c>
      <c r="D1433" s="9" t="n">
        <v>29</v>
      </c>
      <c r="E1433" s="10">
        <f>COMBIN(A1433,D1433)/COMBIN(A1433-B1433,D1433)</f>
        <v/>
      </c>
      <c r="F1433" s="11">
        <f>ROUNDUP(E1433*Controls!$B$4,4)</f>
        <v/>
      </c>
      <c r="G1433" s="12">
        <f>F1433/E1433</f>
        <v/>
      </c>
      <c r="H1433" s="10">
        <f>(A1433-B1433-(D1433-1))/(A1433-(D1433-1))</f>
        <v/>
      </c>
      <c r="I1433" s="9">
        <f>A1433&amp;'x'&amp;B1433</f>
        <v/>
      </c>
      <c r="J1433" s="9">
        <f>IF(AND(G1433&gt;0.9,G1433&lt;1),"OK","CHECK")</f>
        <v/>
      </c>
    </row>
    <row r="1434">
      <c r="A1434" s="9" t="n">
        <v>49</v>
      </c>
      <c r="B1434" s="9" t="n">
        <v>8</v>
      </c>
      <c r="C1434" s="9" t="n">
        <v>41</v>
      </c>
      <c r="D1434" s="9" t="n">
        <v>30</v>
      </c>
      <c r="E1434" s="10">
        <f>COMBIN(A1434,D1434)/COMBIN(A1434-B1434,D1434)</f>
        <v/>
      </c>
      <c r="F1434" s="11">
        <f>ROUNDUP(E1434*Controls!$B$4,4)</f>
        <v/>
      </c>
      <c r="G1434" s="12">
        <f>F1434/E1434</f>
        <v/>
      </c>
      <c r="H1434" s="10">
        <f>(A1434-B1434-(D1434-1))/(A1434-(D1434-1))</f>
        <v/>
      </c>
      <c r="I1434" s="9">
        <f>A1434&amp;'x'&amp;B1434</f>
        <v/>
      </c>
      <c r="J1434" s="9">
        <f>IF(AND(G1434&gt;0.9,G1434&lt;1),"OK","CHECK")</f>
        <v/>
      </c>
    </row>
    <row r="1435">
      <c r="A1435" s="9" t="n">
        <v>49</v>
      </c>
      <c r="B1435" s="9" t="n">
        <v>8</v>
      </c>
      <c r="C1435" s="9" t="n">
        <v>41</v>
      </c>
      <c r="D1435" s="9" t="n">
        <v>31</v>
      </c>
      <c r="E1435" s="10">
        <f>COMBIN(A1435,D1435)/COMBIN(A1435-B1435,D1435)</f>
        <v/>
      </c>
      <c r="F1435" s="11">
        <f>ROUNDUP(E1435*Controls!$B$4,4)</f>
        <v/>
      </c>
      <c r="G1435" s="12">
        <f>F1435/E1435</f>
        <v/>
      </c>
      <c r="H1435" s="10">
        <f>(A1435-B1435-(D1435-1))/(A1435-(D1435-1))</f>
        <v/>
      </c>
      <c r="I1435" s="9">
        <f>A1435&amp;'x'&amp;B1435</f>
        <v/>
      </c>
      <c r="J1435" s="9">
        <f>IF(AND(G1435&gt;0.9,G1435&lt;1),"OK","CHECK")</f>
        <v/>
      </c>
    </row>
    <row r="1436">
      <c r="A1436" s="9" t="n">
        <v>49</v>
      </c>
      <c r="B1436" s="9" t="n">
        <v>8</v>
      </c>
      <c r="C1436" s="9" t="n">
        <v>41</v>
      </c>
      <c r="D1436" s="9" t="n">
        <v>32</v>
      </c>
      <c r="E1436" s="10">
        <f>COMBIN(A1436,D1436)/COMBIN(A1436-B1436,D1436)</f>
        <v/>
      </c>
      <c r="F1436" s="11">
        <f>ROUNDUP(E1436*Controls!$B$4,4)</f>
        <v/>
      </c>
      <c r="G1436" s="12">
        <f>F1436/E1436</f>
        <v/>
      </c>
      <c r="H1436" s="10">
        <f>(A1436-B1436-(D1436-1))/(A1436-(D1436-1))</f>
        <v/>
      </c>
      <c r="I1436" s="9">
        <f>A1436&amp;'x'&amp;B1436</f>
        <v/>
      </c>
      <c r="J1436" s="9">
        <f>IF(AND(G1436&gt;0.9,G1436&lt;1),"OK","CHECK")</f>
        <v/>
      </c>
    </row>
    <row r="1437">
      <c r="A1437" s="9" t="n">
        <v>49</v>
      </c>
      <c r="B1437" s="9" t="n">
        <v>8</v>
      </c>
      <c r="C1437" s="9" t="n">
        <v>41</v>
      </c>
      <c r="D1437" s="9" t="n">
        <v>33</v>
      </c>
      <c r="E1437" s="10">
        <f>COMBIN(A1437,D1437)/COMBIN(A1437-B1437,D1437)</f>
        <v/>
      </c>
      <c r="F1437" s="11">
        <f>ROUNDUP(E1437*Controls!$B$4,4)</f>
        <v/>
      </c>
      <c r="G1437" s="12">
        <f>F1437/E1437</f>
        <v/>
      </c>
      <c r="H1437" s="10">
        <f>(A1437-B1437-(D1437-1))/(A1437-(D1437-1))</f>
        <v/>
      </c>
      <c r="I1437" s="9">
        <f>A1437&amp;'x'&amp;B1437</f>
        <v/>
      </c>
      <c r="J1437" s="9">
        <f>IF(AND(G1437&gt;0.9,G1437&lt;1),"OK","CHECK")</f>
        <v/>
      </c>
    </row>
    <row r="1438">
      <c r="A1438" s="9" t="n">
        <v>49</v>
      </c>
      <c r="B1438" s="9" t="n">
        <v>8</v>
      </c>
      <c r="C1438" s="9" t="n">
        <v>41</v>
      </c>
      <c r="D1438" s="9" t="n">
        <v>34</v>
      </c>
      <c r="E1438" s="10">
        <f>COMBIN(A1438,D1438)/COMBIN(A1438-B1438,D1438)</f>
        <v/>
      </c>
      <c r="F1438" s="11">
        <f>ROUNDUP(E1438*Controls!$B$4,4)</f>
        <v/>
      </c>
      <c r="G1438" s="12">
        <f>F1438/E1438</f>
        <v/>
      </c>
      <c r="H1438" s="10">
        <f>(A1438-B1438-(D1438-1))/(A1438-(D1438-1))</f>
        <v/>
      </c>
      <c r="I1438" s="9">
        <f>A1438&amp;'x'&amp;B1438</f>
        <v/>
      </c>
      <c r="J1438" s="9">
        <f>IF(AND(G1438&gt;0.9,G1438&lt;1),"OK","CHECK")</f>
        <v/>
      </c>
    </row>
    <row r="1439">
      <c r="A1439" s="9" t="n">
        <v>49</v>
      </c>
      <c r="B1439" s="9" t="n">
        <v>8</v>
      </c>
      <c r="C1439" s="9" t="n">
        <v>41</v>
      </c>
      <c r="D1439" s="9" t="n">
        <v>35</v>
      </c>
      <c r="E1439" s="10">
        <f>COMBIN(A1439,D1439)/COMBIN(A1439-B1439,D1439)</f>
        <v/>
      </c>
      <c r="F1439" s="11">
        <f>ROUNDUP(E1439*Controls!$B$4,4)</f>
        <v/>
      </c>
      <c r="G1439" s="12">
        <f>F1439/E1439</f>
        <v/>
      </c>
      <c r="H1439" s="10">
        <f>(A1439-B1439-(D1439-1))/(A1439-(D1439-1))</f>
        <v/>
      </c>
      <c r="I1439" s="9">
        <f>A1439&amp;'x'&amp;B1439</f>
        <v/>
      </c>
      <c r="J1439" s="9">
        <f>IF(AND(G1439&gt;0.9,G1439&lt;1),"OK","CHECK")</f>
        <v/>
      </c>
    </row>
    <row r="1440">
      <c r="A1440" s="9" t="n">
        <v>49</v>
      </c>
      <c r="B1440" s="9" t="n">
        <v>8</v>
      </c>
      <c r="C1440" s="9" t="n">
        <v>41</v>
      </c>
      <c r="D1440" s="9" t="n">
        <v>36</v>
      </c>
      <c r="E1440" s="10">
        <f>COMBIN(A1440,D1440)/COMBIN(A1440-B1440,D1440)</f>
        <v/>
      </c>
      <c r="F1440" s="11">
        <f>ROUNDUP(E1440*Controls!$B$4,4)</f>
        <v/>
      </c>
      <c r="G1440" s="12">
        <f>F1440/E1440</f>
        <v/>
      </c>
      <c r="H1440" s="10">
        <f>(A1440-B1440-(D1440-1))/(A1440-(D1440-1))</f>
        <v/>
      </c>
      <c r="I1440" s="9">
        <f>A1440&amp;'x'&amp;B1440</f>
        <v/>
      </c>
      <c r="J1440" s="9">
        <f>IF(AND(G1440&gt;0.9,G1440&lt;1),"OK","CHECK")</f>
        <v/>
      </c>
    </row>
    <row r="1441">
      <c r="A1441" s="9" t="n">
        <v>49</v>
      </c>
      <c r="B1441" s="9" t="n">
        <v>8</v>
      </c>
      <c r="C1441" s="9" t="n">
        <v>41</v>
      </c>
      <c r="D1441" s="9" t="n">
        <v>37</v>
      </c>
      <c r="E1441" s="10">
        <f>COMBIN(A1441,D1441)/COMBIN(A1441-B1441,D1441)</f>
        <v/>
      </c>
      <c r="F1441" s="11">
        <f>ROUNDUP(E1441*Controls!$B$4,4)</f>
        <v/>
      </c>
      <c r="G1441" s="12">
        <f>F1441/E1441</f>
        <v/>
      </c>
      <c r="H1441" s="10">
        <f>(A1441-B1441-(D1441-1))/(A1441-(D1441-1))</f>
        <v/>
      </c>
      <c r="I1441" s="9">
        <f>A1441&amp;'x'&amp;B1441</f>
        <v/>
      </c>
      <c r="J1441" s="9">
        <f>IF(AND(G1441&gt;0.9,G1441&lt;1),"OK","CHECK")</f>
        <v/>
      </c>
    </row>
    <row r="1442">
      <c r="A1442" s="9" t="n">
        <v>49</v>
      </c>
      <c r="B1442" s="9" t="n">
        <v>8</v>
      </c>
      <c r="C1442" s="9" t="n">
        <v>41</v>
      </c>
      <c r="D1442" s="9" t="n">
        <v>38</v>
      </c>
      <c r="E1442" s="10">
        <f>COMBIN(A1442,D1442)/COMBIN(A1442-B1442,D1442)</f>
        <v/>
      </c>
      <c r="F1442" s="11">
        <f>ROUNDUP(E1442*Controls!$B$4,4)</f>
        <v/>
      </c>
      <c r="G1442" s="12">
        <f>F1442/E1442</f>
        <v/>
      </c>
      <c r="H1442" s="10">
        <f>(A1442-B1442-(D1442-1))/(A1442-(D1442-1))</f>
        <v/>
      </c>
      <c r="I1442" s="9">
        <f>A1442&amp;'x'&amp;B1442</f>
        <v/>
      </c>
      <c r="J1442" s="9">
        <f>IF(AND(G1442&gt;0.9,G1442&lt;1),"OK","CHECK")</f>
        <v/>
      </c>
    </row>
    <row r="1443">
      <c r="A1443" s="9" t="n">
        <v>49</v>
      </c>
      <c r="B1443" s="9" t="n">
        <v>8</v>
      </c>
      <c r="C1443" s="9" t="n">
        <v>41</v>
      </c>
      <c r="D1443" s="9" t="n">
        <v>39</v>
      </c>
      <c r="E1443" s="10">
        <f>COMBIN(A1443,D1443)/COMBIN(A1443-B1443,D1443)</f>
        <v/>
      </c>
      <c r="F1443" s="11">
        <f>ROUNDUP(E1443*Controls!$B$4,4)</f>
        <v/>
      </c>
      <c r="G1443" s="12">
        <f>F1443/E1443</f>
        <v/>
      </c>
      <c r="H1443" s="10">
        <f>(A1443-B1443-(D1443-1))/(A1443-(D1443-1))</f>
        <v/>
      </c>
      <c r="I1443" s="9">
        <f>A1443&amp;'x'&amp;B1443</f>
        <v/>
      </c>
      <c r="J1443" s="9">
        <f>IF(AND(G1443&gt;0.9,G1443&lt;1),"OK","CHECK")</f>
        <v/>
      </c>
    </row>
    <row r="1444">
      <c r="A1444" s="9" t="n">
        <v>49</v>
      </c>
      <c r="B1444" s="9" t="n">
        <v>8</v>
      </c>
      <c r="C1444" s="9" t="n">
        <v>41</v>
      </c>
      <c r="D1444" s="9" t="n">
        <v>40</v>
      </c>
      <c r="E1444" s="10">
        <f>COMBIN(A1444,D1444)/COMBIN(A1444-B1444,D1444)</f>
        <v/>
      </c>
      <c r="F1444" s="11">
        <f>ROUNDUP(E1444*Controls!$B$4,4)</f>
        <v/>
      </c>
      <c r="G1444" s="12">
        <f>F1444/E1444</f>
        <v/>
      </c>
      <c r="H1444" s="10">
        <f>(A1444-B1444-(D1444-1))/(A1444-(D1444-1))</f>
        <v/>
      </c>
      <c r="I1444" s="9">
        <f>A1444&amp;'x'&amp;B1444</f>
        <v/>
      </c>
      <c r="J1444" s="9">
        <f>IF(AND(G1444&gt;0.9,G1444&lt;1),"OK","CHECK")</f>
        <v/>
      </c>
    </row>
    <row r="1445">
      <c r="A1445" s="9" t="n">
        <v>49</v>
      </c>
      <c r="B1445" s="9" t="n">
        <v>8</v>
      </c>
      <c r="C1445" s="9" t="n">
        <v>41</v>
      </c>
      <c r="D1445" s="9" t="n">
        <v>41</v>
      </c>
      <c r="E1445" s="10">
        <f>COMBIN(A1445,D1445)/COMBIN(A1445-B1445,D1445)</f>
        <v/>
      </c>
      <c r="F1445" s="11">
        <f>ROUNDUP(E1445*Controls!$B$4,4)</f>
        <v/>
      </c>
      <c r="G1445" s="12">
        <f>F1445/E1445</f>
        <v/>
      </c>
      <c r="H1445" s="10">
        <f>(A1445-B1445-(D1445-1))/(A1445-(D1445-1))</f>
        <v/>
      </c>
      <c r="I1445" s="9">
        <f>A1445&amp;'x'&amp;B1445</f>
        <v/>
      </c>
      <c r="J1445" s="9">
        <f>IF(AND(G1445&gt;0.9,G1445&lt;1),"OK","CHECK")</f>
        <v/>
      </c>
    </row>
    <row r="1446">
      <c r="A1446" s="9" t="n">
        <v>49</v>
      </c>
      <c r="B1446" s="9" t="n">
        <v>9</v>
      </c>
      <c r="C1446" s="9" t="n">
        <v>40</v>
      </c>
      <c r="D1446" s="9" t="n">
        <v>1</v>
      </c>
      <c r="E1446" s="10">
        <f>COMBIN(A1446,D1446)/COMBIN(A1446-B1446,D1446)</f>
        <v/>
      </c>
      <c r="F1446" s="11">
        <f>ROUNDUP(E1446*Controls!$B$4,4)</f>
        <v/>
      </c>
      <c r="G1446" s="12">
        <f>F1446/E1446</f>
        <v/>
      </c>
      <c r="H1446" s="10">
        <f>(A1446-B1446-(D1446-1))/(A1446-(D1446-1))</f>
        <v/>
      </c>
      <c r="I1446" s="9">
        <f>A1446&amp;'x'&amp;B1446</f>
        <v/>
      </c>
      <c r="J1446" s="9">
        <f>IF(AND(G1446&gt;0.9,G1446&lt;1),"OK","CHECK")</f>
        <v/>
      </c>
    </row>
    <row r="1447">
      <c r="A1447" s="9" t="n">
        <v>49</v>
      </c>
      <c r="B1447" s="9" t="n">
        <v>9</v>
      </c>
      <c r="C1447" s="9" t="n">
        <v>40</v>
      </c>
      <c r="D1447" s="9" t="n">
        <v>2</v>
      </c>
      <c r="E1447" s="10">
        <f>COMBIN(A1447,D1447)/COMBIN(A1447-B1447,D1447)</f>
        <v/>
      </c>
      <c r="F1447" s="11">
        <f>ROUNDUP(E1447*Controls!$B$4,4)</f>
        <v/>
      </c>
      <c r="G1447" s="12">
        <f>F1447/E1447</f>
        <v/>
      </c>
      <c r="H1447" s="10">
        <f>(A1447-B1447-(D1447-1))/(A1447-(D1447-1))</f>
        <v/>
      </c>
      <c r="I1447" s="9">
        <f>A1447&amp;'x'&amp;B1447</f>
        <v/>
      </c>
      <c r="J1447" s="9">
        <f>IF(AND(G1447&gt;0.9,G1447&lt;1),"OK","CHECK")</f>
        <v/>
      </c>
    </row>
    <row r="1448">
      <c r="A1448" s="9" t="n">
        <v>49</v>
      </c>
      <c r="B1448" s="9" t="n">
        <v>9</v>
      </c>
      <c r="C1448" s="9" t="n">
        <v>40</v>
      </c>
      <c r="D1448" s="9" t="n">
        <v>3</v>
      </c>
      <c r="E1448" s="10">
        <f>COMBIN(A1448,D1448)/COMBIN(A1448-B1448,D1448)</f>
        <v/>
      </c>
      <c r="F1448" s="11">
        <f>ROUNDUP(E1448*Controls!$B$4,4)</f>
        <v/>
      </c>
      <c r="G1448" s="12">
        <f>F1448/E1448</f>
        <v/>
      </c>
      <c r="H1448" s="10">
        <f>(A1448-B1448-(D1448-1))/(A1448-(D1448-1))</f>
        <v/>
      </c>
      <c r="I1448" s="9">
        <f>A1448&amp;'x'&amp;B1448</f>
        <v/>
      </c>
      <c r="J1448" s="9">
        <f>IF(AND(G1448&gt;0.9,G1448&lt;1),"OK","CHECK")</f>
        <v/>
      </c>
    </row>
    <row r="1449">
      <c r="A1449" s="9" t="n">
        <v>49</v>
      </c>
      <c r="B1449" s="9" t="n">
        <v>9</v>
      </c>
      <c r="C1449" s="9" t="n">
        <v>40</v>
      </c>
      <c r="D1449" s="9" t="n">
        <v>4</v>
      </c>
      <c r="E1449" s="10">
        <f>COMBIN(A1449,D1449)/COMBIN(A1449-B1449,D1449)</f>
        <v/>
      </c>
      <c r="F1449" s="11">
        <f>ROUNDUP(E1449*Controls!$B$4,4)</f>
        <v/>
      </c>
      <c r="G1449" s="12">
        <f>F1449/E1449</f>
        <v/>
      </c>
      <c r="H1449" s="10">
        <f>(A1449-B1449-(D1449-1))/(A1449-(D1449-1))</f>
        <v/>
      </c>
      <c r="I1449" s="9">
        <f>A1449&amp;'x'&amp;B1449</f>
        <v/>
      </c>
      <c r="J1449" s="9">
        <f>IF(AND(G1449&gt;0.9,G1449&lt;1),"OK","CHECK")</f>
        <v/>
      </c>
    </row>
    <row r="1450">
      <c r="A1450" s="9" t="n">
        <v>49</v>
      </c>
      <c r="B1450" s="9" t="n">
        <v>9</v>
      </c>
      <c r="C1450" s="9" t="n">
        <v>40</v>
      </c>
      <c r="D1450" s="9" t="n">
        <v>5</v>
      </c>
      <c r="E1450" s="10">
        <f>COMBIN(A1450,D1450)/COMBIN(A1450-B1450,D1450)</f>
        <v/>
      </c>
      <c r="F1450" s="11">
        <f>ROUNDUP(E1450*Controls!$B$4,4)</f>
        <v/>
      </c>
      <c r="G1450" s="12">
        <f>F1450/E1450</f>
        <v/>
      </c>
      <c r="H1450" s="10">
        <f>(A1450-B1450-(D1450-1))/(A1450-(D1450-1))</f>
        <v/>
      </c>
      <c r="I1450" s="9">
        <f>A1450&amp;'x'&amp;B1450</f>
        <v/>
      </c>
      <c r="J1450" s="9">
        <f>IF(AND(G1450&gt;0.9,G1450&lt;1),"OK","CHECK")</f>
        <v/>
      </c>
    </row>
    <row r="1451">
      <c r="A1451" s="9" t="n">
        <v>49</v>
      </c>
      <c r="B1451" s="9" t="n">
        <v>9</v>
      </c>
      <c r="C1451" s="9" t="n">
        <v>40</v>
      </c>
      <c r="D1451" s="9" t="n">
        <v>6</v>
      </c>
      <c r="E1451" s="10">
        <f>COMBIN(A1451,D1451)/COMBIN(A1451-B1451,D1451)</f>
        <v/>
      </c>
      <c r="F1451" s="11">
        <f>ROUNDUP(E1451*Controls!$B$4,4)</f>
        <v/>
      </c>
      <c r="G1451" s="12">
        <f>F1451/E1451</f>
        <v/>
      </c>
      <c r="H1451" s="10">
        <f>(A1451-B1451-(D1451-1))/(A1451-(D1451-1))</f>
        <v/>
      </c>
      <c r="I1451" s="9">
        <f>A1451&amp;'x'&amp;B1451</f>
        <v/>
      </c>
      <c r="J1451" s="9">
        <f>IF(AND(G1451&gt;0.9,G1451&lt;1),"OK","CHECK")</f>
        <v/>
      </c>
    </row>
    <row r="1452">
      <c r="A1452" s="9" t="n">
        <v>49</v>
      </c>
      <c r="B1452" s="9" t="n">
        <v>9</v>
      </c>
      <c r="C1452" s="9" t="n">
        <v>40</v>
      </c>
      <c r="D1452" s="9" t="n">
        <v>7</v>
      </c>
      <c r="E1452" s="10">
        <f>COMBIN(A1452,D1452)/COMBIN(A1452-B1452,D1452)</f>
        <v/>
      </c>
      <c r="F1452" s="11">
        <f>ROUNDUP(E1452*Controls!$B$4,4)</f>
        <v/>
      </c>
      <c r="G1452" s="12">
        <f>F1452/E1452</f>
        <v/>
      </c>
      <c r="H1452" s="10">
        <f>(A1452-B1452-(D1452-1))/(A1452-(D1452-1))</f>
        <v/>
      </c>
      <c r="I1452" s="9">
        <f>A1452&amp;'x'&amp;B1452</f>
        <v/>
      </c>
      <c r="J1452" s="9">
        <f>IF(AND(G1452&gt;0.9,G1452&lt;1),"OK","CHECK")</f>
        <v/>
      </c>
    </row>
    <row r="1453">
      <c r="A1453" s="9" t="n">
        <v>49</v>
      </c>
      <c r="B1453" s="9" t="n">
        <v>9</v>
      </c>
      <c r="C1453" s="9" t="n">
        <v>40</v>
      </c>
      <c r="D1453" s="9" t="n">
        <v>8</v>
      </c>
      <c r="E1453" s="10">
        <f>COMBIN(A1453,D1453)/COMBIN(A1453-B1453,D1453)</f>
        <v/>
      </c>
      <c r="F1453" s="11">
        <f>ROUNDUP(E1453*Controls!$B$4,4)</f>
        <v/>
      </c>
      <c r="G1453" s="12">
        <f>F1453/E1453</f>
        <v/>
      </c>
      <c r="H1453" s="10">
        <f>(A1453-B1453-(D1453-1))/(A1453-(D1453-1))</f>
        <v/>
      </c>
      <c r="I1453" s="9">
        <f>A1453&amp;'x'&amp;B1453</f>
        <v/>
      </c>
      <c r="J1453" s="9">
        <f>IF(AND(G1453&gt;0.9,G1453&lt;1),"OK","CHECK")</f>
        <v/>
      </c>
    </row>
    <row r="1454">
      <c r="A1454" s="9" t="n">
        <v>49</v>
      </c>
      <c r="B1454" s="9" t="n">
        <v>9</v>
      </c>
      <c r="C1454" s="9" t="n">
        <v>40</v>
      </c>
      <c r="D1454" s="9" t="n">
        <v>9</v>
      </c>
      <c r="E1454" s="10">
        <f>COMBIN(A1454,D1454)/COMBIN(A1454-B1454,D1454)</f>
        <v/>
      </c>
      <c r="F1454" s="11">
        <f>ROUNDUP(E1454*Controls!$B$4,4)</f>
        <v/>
      </c>
      <c r="G1454" s="12">
        <f>F1454/E1454</f>
        <v/>
      </c>
      <c r="H1454" s="10">
        <f>(A1454-B1454-(D1454-1))/(A1454-(D1454-1))</f>
        <v/>
      </c>
      <c r="I1454" s="9">
        <f>A1454&amp;'x'&amp;B1454</f>
        <v/>
      </c>
      <c r="J1454" s="9">
        <f>IF(AND(G1454&gt;0.9,G1454&lt;1),"OK","CHECK")</f>
        <v/>
      </c>
    </row>
    <row r="1455">
      <c r="A1455" s="9" t="n">
        <v>49</v>
      </c>
      <c r="B1455" s="9" t="n">
        <v>9</v>
      </c>
      <c r="C1455" s="9" t="n">
        <v>40</v>
      </c>
      <c r="D1455" s="9" t="n">
        <v>10</v>
      </c>
      <c r="E1455" s="10">
        <f>COMBIN(A1455,D1455)/COMBIN(A1455-B1455,D1455)</f>
        <v/>
      </c>
      <c r="F1455" s="11">
        <f>ROUNDUP(E1455*Controls!$B$4,4)</f>
        <v/>
      </c>
      <c r="G1455" s="12">
        <f>F1455/E1455</f>
        <v/>
      </c>
      <c r="H1455" s="10">
        <f>(A1455-B1455-(D1455-1))/(A1455-(D1455-1))</f>
        <v/>
      </c>
      <c r="I1455" s="9">
        <f>A1455&amp;'x'&amp;B1455</f>
        <v/>
      </c>
      <c r="J1455" s="9">
        <f>IF(AND(G1455&gt;0.9,G1455&lt;1),"OK","CHECK")</f>
        <v/>
      </c>
    </row>
    <row r="1456">
      <c r="A1456" s="9" t="n">
        <v>49</v>
      </c>
      <c r="B1456" s="9" t="n">
        <v>9</v>
      </c>
      <c r="C1456" s="9" t="n">
        <v>40</v>
      </c>
      <c r="D1456" s="9" t="n">
        <v>11</v>
      </c>
      <c r="E1456" s="10">
        <f>COMBIN(A1456,D1456)/COMBIN(A1456-B1456,D1456)</f>
        <v/>
      </c>
      <c r="F1456" s="11">
        <f>ROUNDUP(E1456*Controls!$B$4,4)</f>
        <v/>
      </c>
      <c r="G1456" s="12">
        <f>F1456/E1456</f>
        <v/>
      </c>
      <c r="H1456" s="10">
        <f>(A1456-B1456-(D1456-1))/(A1456-(D1456-1))</f>
        <v/>
      </c>
      <c r="I1456" s="9">
        <f>A1456&amp;'x'&amp;B1456</f>
        <v/>
      </c>
      <c r="J1456" s="9">
        <f>IF(AND(G1456&gt;0.9,G1456&lt;1),"OK","CHECK")</f>
        <v/>
      </c>
    </row>
    <row r="1457">
      <c r="A1457" s="9" t="n">
        <v>49</v>
      </c>
      <c r="B1457" s="9" t="n">
        <v>9</v>
      </c>
      <c r="C1457" s="9" t="n">
        <v>40</v>
      </c>
      <c r="D1457" s="9" t="n">
        <v>12</v>
      </c>
      <c r="E1457" s="10">
        <f>COMBIN(A1457,D1457)/COMBIN(A1457-B1457,D1457)</f>
        <v/>
      </c>
      <c r="F1457" s="11">
        <f>ROUNDUP(E1457*Controls!$B$4,4)</f>
        <v/>
      </c>
      <c r="G1457" s="12">
        <f>F1457/E1457</f>
        <v/>
      </c>
      <c r="H1457" s="10">
        <f>(A1457-B1457-(D1457-1))/(A1457-(D1457-1))</f>
        <v/>
      </c>
      <c r="I1457" s="9">
        <f>A1457&amp;'x'&amp;B1457</f>
        <v/>
      </c>
      <c r="J1457" s="9">
        <f>IF(AND(G1457&gt;0.9,G1457&lt;1),"OK","CHECK")</f>
        <v/>
      </c>
    </row>
    <row r="1458">
      <c r="A1458" s="9" t="n">
        <v>49</v>
      </c>
      <c r="B1458" s="9" t="n">
        <v>9</v>
      </c>
      <c r="C1458" s="9" t="n">
        <v>40</v>
      </c>
      <c r="D1458" s="9" t="n">
        <v>13</v>
      </c>
      <c r="E1458" s="10">
        <f>COMBIN(A1458,D1458)/COMBIN(A1458-B1458,D1458)</f>
        <v/>
      </c>
      <c r="F1458" s="11">
        <f>ROUNDUP(E1458*Controls!$B$4,4)</f>
        <v/>
      </c>
      <c r="G1458" s="12">
        <f>F1458/E1458</f>
        <v/>
      </c>
      <c r="H1458" s="10">
        <f>(A1458-B1458-(D1458-1))/(A1458-(D1458-1))</f>
        <v/>
      </c>
      <c r="I1458" s="9">
        <f>A1458&amp;'x'&amp;B1458</f>
        <v/>
      </c>
      <c r="J1458" s="9">
        <f>IF(AND(G1458&gt;0.9,G1458&lt;1),"OK","CHECK")</f>
        <v/>
      </c>
    </row>
    <row r="1459">
      <c r="A1459" s="9" t="n">
        <v>49</v>
      </c>
      <c r="B1459" s="9" t="n">
        <v>9</v>
      </c>
      <c r="C1459" s="9" t="n">
        <v>40</v>
      </c>
      <c r="D1459" s="9" t="n">
        <v>14</v>
      </c>
      <c r="E1459" s="10">
        <f>COMBIN(A1459,D1459)/COMBIN(A1459-B1459,D1459)</f>
        <v/>
      </c>
      <c r="F1459" s="11">
        <f>ROUNDUP(E1459*Controls!$B$4,4)</f>
        <v/>
      </c>
      <c r="G1459" s="12">
        <f>F1459/E1459</f>
        <v/>
      </c>
      <c r="H1459" s="10">
        <f>(A1459-B1459-(D1459-1))/(A1459-(D1459-1))</f>
        <v/>
      </c>
      <c r="I1459" s="9">
        <f>A1459&amp;'x'&amp;B1459</f>
        <v/>
      </c>
      <c r="J1459" s="9">
        <f>IF(AND(G1459&gt;0.9,G1459&lt;1),"OK","CHECK")</f>
        <v/>
      </c>
    </row>
    <row r="1460">
      <c r="A1460" s="9" t="n">
        <v>49</v>
      </c>
      <c r="B1460" s="9" t="n">
        <v>9</v>
      </c>
      <c r="C1460" s="9" t="n">
        <v>40</v>
      </c>
      <c r="D1460" s="9" t="n">
        <v>15</v>
      </c>
      <c r="E1460" s="10">
        <f>COMBIN(A1460,D1460)/COMBIN(A1460-B1460,D1460)</f>
        <v/>
      </c>
      <c r="F1460" s="11">
        <f>ROUNDUP(E1460*Controls!$B$4,4)</f>
        <v/>
      </c>
      <c r="G1460" s="12">
        <f>F1460/E1460</f>
        <v/>
      </c>
      <c r="H1460" s="10">
        <f>(A1460-B1460-(D1460-1))/(A1460-(D1460-1))</f>
        <v/>
      </c>
      <c r="I1460" s="9">
        <f>A1460&amp;'x'&amp;B1460</f>
        <v/>
      </c>
      <c r="J1460" s="9">
        <f>IF(AND(G1460&gt;0.9,G1460&lt;1),"OK","CHECK")</f>
        <v/>
      </c>
    </row>
    <row r="1461">
      <c r="A1461" s="9" t="n">
        <v>49</v>
      </c>
      <c r="B1461" s="9" t="n">
        <v>9</v>
      </c>
      <c r="C1461" s="9" t="n">
        <v>40</v>
      </c>
      <c r="D1461" s="9" t="n">
        <v>16</v>
      </c>
      <c r="E1461" s="10">
        <f>COMBIN(A1461,D1461)/COMBIN(A1461-B1461,D1461)</f>
        <v/>
      </c>
      <c r="F1461" s="11">
        <f>ROUNDUP(E1461*Controls!$B$4,4)</f>
        <v/>
      </c>
      <c r="G1461" s="12">
        <f>F1461/E1461</f>
        <v/>
      </c>
      <c r="H1461" s="10">
        <f>(A1461-B1461-(D1461-1))/(A1461-(D1461-1))</f>
        <v/>
      </c>
      <c r="I1461" s="9">
        <f>A1461&amp;'x'&amp;B1461</f>
        <v/>
      </c>
      <c r="J1461" s="9">
        <f>IF(AND(G1461&gt;0.9,G1461&lt;1),"OK","CHECK")</f>
        <v/>
      </c>
    </row>
    <row r="1462">
      <c r="A1462" s="9" t="n">
        <v>49</v>
      </c>
      <c r="B1462" s="9" t="n">
        <v>9</v>
      </c>
      <c r="C1462" s="9" t="n">
        <v>40</v>
      </c>
      <c r="D1462" s="9" t="n">
        <v>17</v>
      </c>
      <c r="E1462" s="10">
        <f>COMBIN(A1462,D1462)/COMBIN(A1462-B1462,D1462)</f>
        <v/>
      </c>
      <c r="F1462" s="11">
        <f>ROUNDUP(E1462*Controls!$B$4,4)</f>
        <v/>
      </c>
      <c r="G1462" s="12">
        <f>F1462/E1462</f>
        <v/>
      </c>
      <c r="H1462" s="10">
        <f>(A1462-B1462-(D1462-1))/(A1462-(D1462-1))</f>
        <v/>
      </c>
      <c r="I1462" s="9">
        <f>A1462&amp;'x'&amp;B1462</f>
        <v/>
      </c>
      <c r="J1462" s="9">
        <f>IF(AND(G1462&gt;0.9,G1462&lt;1),"OK","CHECK")</f>
        <v/>
      </c>
    </row>
    <row r="1463">
      <c r="A1463" s="9" t="n">
        <v>49</v>
      </c>
      <c r="B1463" s="9" t="n">
        <v>9</v>
      </c>
      <c r="C1463" s="9" t="n">
        <v>40</v>
      </c>
      <c r="D1463" s="9" t="n">
        <v>18</v>
      </c>
      <c r="E1463" s="10">
        <f>COMBIN(A1463,D1463)/COMBIN(A1463-B1463,D1463)</f>
        <v/>
      </c>
      <c r="F1463" s="11">
        <f>ROUNDUP(E1463*Controls!$B$4,4)</f>
        <v/>
      </c>
      <c r="G1463" s="12">
        <f>F1463/E1463</f>
        <v/>
      </c>
      <c r="H1463" s="10">
        <f>(A1463-B1463-(D1463-1))/(A1463-(D1463-1))</f>
        <v/>
      </c>
      <c r="I1463" s="9">
        <f>A1463&amp;'x'&amp;B1463</f>
        <v/>
      </c>
      <c r="J1463" s="9">
        <f>IF(AND(G1463&gt;0.9,G1463&lt;1),"OK","CHECK")</f>
        <v/>
      </c>
    </row>
    <row r="1464">
      <c r="A1464" s="9" t="n">
        <v>49</v>
      </c>
      <c r="B1464" s="9" t="n">
        <v>9</v>
      </c>
      <c r="C1464" s="9" t="n">
        <v>40</v>
      </c>
      <c r="D1464" s="9" t="n">
        <v>19</v>
      </c>
      <c r="E1464" s="10">
        <f>COMBIN(A1464,D1464)/COMBIN(A1464-B1464,D1464)</f>
        <v/>
      </c>
      <c r="F1464" s="11">
        <f>ROUNDUP(E1464*Controls!$B$4,4)</f>
        <v/>
      </c>
      <c r="G1464" s="12">
        <f>F1464/E1464</f>
        <v/>
      </c>
      <c r="H1464" s="10">
        <f>(A1464-B1464-(D1464-1))/(A1464-(D1464-1))</f>
        <v/>
      </c>
      <c r="I1464" s="9">
        <f>A1464&amp;'x'&amp;B1464</f>
        <v/>
      </c>
      <c r="J1464" s="9">
        <f>IF(AND(G1464&gt;0.9,G1464&lt;1),"OK","CHECK")</f>
        <v/>
      </c>
    </row>
    <row r="1465">
      <c r="A1465" s="9" t="n">
        <v>49</v>
      </c>
      <c r="B1465" s="9" t="n">
        <v>9</v>
      </c>
      <c r="C1465" s="9" t="n">
        <v>40</v>
      </c>
      <c r="D1465" s="9" t="n">
        <v>20</v>
      </c>
      <c r="E1465" s="10">
        <f>COMBIN(A1465,D1465)/COMBIN(A1465-B1465,D1465)</f>
        <v/>
      </c>
      <c r="F1465" s="11">
        <f>ROUNDUP(E1465*Controls!$B$4,4)</f>
        <v/>
      </c>
      <c r="G1465" s="12">
        <f>F1465/E1465</f>
        <v/>
      </c>
      <c r="H1465" s="10">
        <f>(A1465-B1465-(D1465-1))/(A1465-(D1465-1))</f>
        <v/>
      </c>
      <c r="I1465" s="9">
        <f>A1465&amp;'x'&amp;B1465</f>
        <v/>
      </c>
      <c r="J1465" s="9">
        <f>IF(AND(G1465&gt;0.9,G1465&lt;1),"OK","CHECK")</f>
        <v/>
      </c>
    </row>
    <row r="1466">
      <c r="A1466" s="9" t="n">
        <v>49</v>
      </c>
      <c r="B1466" s="9" t="n">
        <v>9</v>
      </c>
      <c r="C1466" s="9" t="n">
        <v>40</v>
      </c>
      <c r="D1466" s="9" t="n">
        <v>21</v>
      </c>
      <c r="E1466" s="10">
        <f>COMBIN(A1466,D1466)/COMBIN(A1466-B1466,D1466)</f>
        <v/>
      </c>
      <c r="F1466" s="11">
        <f>ROUNDUP(E1466*Controls!$B$4,4)</f>
        <v/>
      </c>
      <c r="G1466" s="12">
        <f>F1466/E1466</f>
        <v/>
      </c>
      <c r="H1466" s="10">
        <f>(A1466-B1466-(D1466-1))/(A1466-(D1466-1))</f>
        <v/>
      </c>
      <c r="I1466" s="9">
        <f>A1466&amp;'x'&amp;B1466</f>
        <v/>
      </c>
      <c r="J1466" s="9">
        <f>IF(AND(G1466&gt;0.9,G1466&lt;1),"OK","CHECK")</f>
        <v/>
      </c>
    </row>
    <row r="1467">
      <c r="A1467" s="9" t="n">
        <v>49</v>
      </c>
      <c r="B1467" s="9" t="n">
        <v>9</v>
      </c>
      <c r="C1467" s="9" t="n">
        <v>40</v>
      </c>
      <c r="D1467" s="9" t="n">
        <v>22</v>
      </c>
      <c r="E1467" s="10">
        <f>COMBIN(A1467,D1467)/COMBIN(A1467-B1467,D1467)</f>
        <v/>
      </c>
      <c r="F1467" s="11">
        <f>ROUNDUP(E1467*Controls!$B$4,4)</f>
        <v/>
      </c>
      <c r="G1467" s="12">
        <f>F1467/E1467</f>
        <v/>
      </c>
      <c r="H1467" s="10">
        <f>(A1467-B1467-(D1467-1))/(A1467-(D1467-1))</f>
        <v/>
      </c>
      <c r="I1467" s="9">
        <f>A1467&amp;'x'&amp;B1467</f>
        <v/>
      </c>
      <c r="J1467" s="9">
        <f>IF(AND(G1467&gt;0.9,G1467&lt;1),"OK","CHECK")</f>
        <v/>
      </c>
    </row>
    <row r="1468">
      <c r="A1468" s="9" t="n">
        <v>49</v>
      </c>
      <c r="B1468" s="9" t="n">
        <v>9</v>
      </c>
      <c r="C1468" s="9" t="n">
        <v>40</v>
      </c>
      <c r="D1468" s="9" t="n">
        <v>23</v>
      </c>
      <c r="E1468" s="10">
        <f>COMBIN(A1468,D1468)/COMBIN(A1468-B1468,D1468)</f>
        <v/>
      </c>
      <c r="F1468" s="11">
        <f>ROUNDUP(E1468*Controls!$B$4,4)</f>
        <v/>
      </c>
      <c r="G1468" s="12">
        <f>F1468/E1468</f>
        <v/>
      </c>
      <c r="H1468" s="10">
        <f>(A1468-B1468-(D1468-1))/(A1468-(D1468-1))</f>
        <v/>
      </c>
      <c r="I1468" s="9">
        <f>A1468&amp;'x'&amp;B1468</f>
        <v/>
      </c>
      <c r="J1468" s="9">
        <f>IF(AND(G1468&gt;0.9,G1468&lt;1),"OK","CHECK")</f>
        <v/>
      </c>
    </row>
    <row r="1469">
      <c r="A1469" s="9" t="n">
        <v>49</v>
      </c>
      <c r="B1469" s="9" t="n">
        <v>9</v>
      </c>
      <c r="C1469" s="9" t="n">
        <v>40</v>
      </c>
      <c r="D1469" s="9" t="n">
        <v>24</v>
      </c>
      <c r="E1469" s="10">
        <f>COMBIN(A1469,D1469)/COMBIN(A1469-B1469,D1469)</f>
        <v/>
      </c>
      <c r="F1469" s="11">
        <f>ROUNDUP(E1469*Controls!$B$4,4)</f>
        <v/>
      </c>
      <c r="G1469" s="12">
        <f>F1469/E1469</f>
        <v/>
      </c>
      <c r="H1469" s="10">
        <f>(A1469-B1469-(D1469-1))/(A1469-(D1469-1))</f>
        <v/>
      </c>
      <c r="I1469" s="9">
        <f>A1469&amp;'x'&amp;B1469</f>
        <v/>
      </c>
      <c r="J1469" s="9">
        <f>IF(AND(G1469&gt;0.9,G1469&lt;1),"OK","CHECK")</f>
        <v/>
      </c>
    </row>
    <row r="1470">
      <c r="A1470" s="9" t="n">
        <v>49</v>
      </c>
      <c r="B1470" s="9" t="n">
        <v>9</v>
      </c>
      <c r="C1470" s="9" t="n">
        <v>40</v>
      </c>
      <c r="D1470" s="9" t="n">
        <v>25</v>
      </c>
      <c r="E1470" s="10">
        <f>COMBIN(A1470,D1470)/COMBIN(A1470-B1470,D1470)</f>
        <v/>
      </c>
      <c r="F1470" s="11">
        <f>ROUNDUP(E1470*Controls!$B$4,4)</f>
        <v/>
      </c>
      <c r="G1470" s="12">
        <f>F1470/E1470</f>
        <v/>
      </c>
      <c r="H1470" s="10">
        <f>(A1470-B1470-(D1470-1))/(A1470-(D1470-1))</f>
        <v/>
      </c>
      <c r="I1470" s="9">
        <f>A1470&amp;'x'&amp;B1470</f>
        <v/>
      </c>
      <c r="J1470" s="9">
        <f>IF(AND(G1470&gt;0.9,G1470&lt;1),"OK","CHECK")</f>
        <v/>
      </c>
    </row>
    <row r="1471">
      <c r="A1471" s="9" t="n">
        <v>49</v>
      </c>
      <c r="B1471" s="9" t="n">
        <v>9</v>
      </c>
      <c r="C1471" s="9" t="n">
        <v>40</v>
      </c>
      <c r="D1471" s="9" t="n">
        <v>26</v>
      </c>
      <c r="E1471" s="10">
        <f>COMBIN(A1471,D1471)/COMBIN(A1471-B1471,D1471)</f>
        <v/>
      </c>
      <c r="F1471" s="11">
        <f>ROUNDUP(E1471*Controls!$B$4,4)</f>
        <v/>
      </c>
      <c r="G1471" s="12">
        <f>F1471/E1471</f>
        <v/>
      </c>
      <c r="H1471" s="10">
        <f>(A1471-B1471-(D1471-1))/(A1471-(D1471-1))</f>
        <v/>
      </c>
      <c r="I1471" s="9">
        <f>A1471&amp;'x'&amp;B1471</f>
        <v/>
      </c>
      <c r="J1471" s="9">
        <f>IF(AND(G1471&gt;0.9,G1471&lt;1),"OK","CHECK")</f>
        <v/>
      </c>
    </row>
    <row r="1472">
      <c r="A1472" s="9" t="n">
        <v>49</v>
      </c>
      <c r="B1472" s="9" t="n">
        <v>9</v>
      </c>
      <c r="C1472" s="9" t="n">
        <v>40</v>
      </c>
      <c r="D1472" s="9" t="n">
        <v>27</v>
      </c>
      <c r="E1472" s="10">
        <f>COMBIN(A1472,D1472)/COMBIN(A1472-B1472,D1472)</f>
        <v/>
      </c>
      <c r="F1472" s="11">
        <f>ROUNDUP(E1472*Controls!$B$4,4)</f>
        <v/>
      </c>
      <c r="G1472" s="12">
        <f>F1472/E1472</f>
        <v/>
      </c>
      <c r="H1472" s="10">
        <f>(A1472-B1472-(D1472-1))/(A1472-(D1472-1))</f>
        <v/>
      </c>
      <c r="I1472" s="9">
        <f>A1472&amp;'x'&amp;B1472</f>
        <v/>
      </c>
      <c r="J1472" s="9">
        <f>IF(AND(G1472&gt;0.9,G1472&lt;1),"OK","CHECK")</f>
        <v/>
      </c>
    </row>
    <row r="1473">
      <c r="A1473" s="9" t="n">
        <v>49</v>
      </c>
      <c r="B1473" s="9" t="n">
        <v>9</v>
      </c>
      <c r="C1473" s="9" t="n">
        <v>40</v>
      </c>
      <c r="D1473" s="9" t="n">
        <v>28</v>
      </c>
      <c r="E1473" s="10">
        <f>COMBIN(A1473,D1473)/COMBIN(A1473-B1473,D1473)</f>
        <v/>
      </c>
      <c r="F1473" s="11">
        <f>ROUNDUP(E1473*Controls!$B$4,4)</f>
        <v/>
      </c>
      <c r="G1473" s="12">
        <f>F1473/E1473</f>
        <v/>
      </c>
      <c r="H1473" s="10">
        <f>(A1473-B1473-(D1473-1))/(A1473-(D1473-1))</f>
        <v/>
      </c>
      <c r="I1473" s="9">
        <f>A1473&amp;'x'&amp;B1473</f>
        <v/>
      </c>
      <c r="J1473" s="9">
        <f>IF(AND(G1473&gt;0.9,G1473&lt;1),"OK","CHECK")</f>
        <v/>
      </c>
    </row>
    <row r="1474">
      <c r="A1474" s="9" t="n">
        <v>49</v>
      </c>
      <c r="B1474" s="9" t="n">
        <v>9</v>
      </c>
      <c r="C1474" s="9" t="n">
        <v>40</v>
      </c>
      <c r="D1474" s="9" t="n">
        <v>29</v>
      </c>
      <c r="E1474" s="10">
        <f>COMBIN(A1474,D1474)/COMBIN(A1474-B1474,D1474)</f>
        <v/>
      </c>
      <c r="F1474" s="11">
        <f>ROUNDUP(E1474*Controls!$B$4,4)</f>
        <v/>
      </c>
      <c r="G1474" s="12">
        <f>F1474/E1474</f>
        <v/>
      </c>
      <c r="H1474" s="10">
        <f>(A1474-B1474-(D1474-1))/(A1474-(D1474-1))</f>
        <v/>
      </c>
      <c r="I1474" s="9">
        <f>A1474&amp;'x'&amp;B1474</f>
        <v/>
      </c>
      <c r="J1474" s="9">
        <f>IF(AND(G1474&gt;0.9,G1474&lt;1),"OK","CHECK")</f>
        <v/>
      </c>
    </row>
    <row r="1475">
      <c r="A1475" s="9" t="n">
        <v>49</v>
      </c>
      <c r="B1475" s="9" t="n">
        <v>9</v>
      </c>
      <c r="C1475" s="9" t="n">
        <v>40</v>
      </c>
      <c r="D1475" s="9" t="n">
        <v>30</v>
      </c>
      <c r="E1475" s="10">
        <f>COMBIN(A1475,D1475)/COMBIN(A1475-B1475,D1475)</f>
        <v/>
      </c>
      <c r="F1475" s="11">
        <f>ROUNDUP(E1475*Controls!$B$4,4)</f>
        <v/>
      </c>
      <c r="G1475" s="12">
        <f>F1475/E1475</f>
        <v/>
      </c>
      <c r="H1475" s="10">
        <f>(A1475-B1475-(D1475-1))/(A1475-(D1475-1))</f>
        <v/>
      </c>
      <c r="I1475" s="9">
        <f>A1475&amp;'x'&amp;B1475</f>
        <v/>
      </c>
      <c r="J1475" s="9">
        <f>IF(AND(G1475&gt;0.9,G1475&lt;1),"OK","CHECK")</f>
        <v/>
      </c>
    </row>
    <row r="1476">
      <c r="A1476" s="9" t="n">
        <v>49</v>
      </c>
      <c r="B1476" s="9" t="n">
        <v>9</v>
      </c>
      <c r="C1476" s="9" t="n">
        <v>40</v>
      </c>
      <c r="D1476" s="9" t="n">
        <v>31</v>
      </c>
      <c r="E1476" s="10">
        <f>COMBIN(A1476,D1476)/COMBIN(A1476-B1476,D1476)</f>
        <v/>
      </c>
      <c r="F1476" s="11">
        <f>ROUNDUP(E1476*Controls!$B$4,4)</f>
        <v/>
      </c>
      <c r="G1476" s="12">
        <f>F1476/E1476</f>
        <v/>
      </c>
      <c r="H1476" s="10">
        <f>(A1476-B1476-(D1476-1))/(A1476-(D1476-1))</f>
        <v/>
      </c>
      <c r="I1476" s="9">
        <f>A1476&amp;'x'&amp;B1476</f>
        <v/>
      </c>
      <c r="J1476" s="9">
        <f>IF(AND(G1476&gt;0.9,G1476&lt;1),"OK","CHECK")</f>
        <v/>
      </c>
    </row>
    <row r="1477">
      <c r="A1477" s="9" t="n">
        <v>49</v>
      </c>
      <c r="B1477" s="9" t="n">
        <v>9</v>
      </c>
      <c r="C1477" s="9" t="n">
        <v>40</v>
      </c>
      <c r="D1477" s="9" t="n">
        <v>32</v>
      </c>
      <c r="E1477" s="10">
        <f>COMBIN(A1477,D1477)/COMBIN(A1477-B1477,D1477)</f>
        <v/>
      </c>
      <c r="F1477" s="11">
        <f>ROUNDUP(E1477*Controls!$B$4,4)</f>
        <v/>
      </c>
      <c r="G1477" s="12">
        <f>F1477/E1477</f>
        <v/>
      </c>
      <c r="H1477" s="10">
        <f>(A1477-B1477-(D1477-1))/(A1477-(D1477-1))</f>
        <v/>
      </c>
      <c r="I1477" s="9">
        <f>A1477&amp;'x'&amp;B1477</f>
        <v/>
      </c>
      <c r="J1477" s="9">
        <f>IF(AND(G1477&gt;0.9,G1477&lt;1),"OK","CHECK")</f>
        <v/>
      </c>
    </row>
    <row r="1478">
      <c r="A1478" s="9" t="n">
        <v>49</v>
      </c>
      <c r="B1478" s="9" t="n">
        <v>9</v>
      </c>
      <c r="C1478" s="9" t="n">
        <v>40</v>
      </c>
      <c r="D1478" s="9" t="n">
        <v>33</v>
      </c>
      <c r="E1478" s="10">
        <f>COMBIN(A1478,D1478)/COMBIN(A1478-B1478,D1478)</f>
        <v/>
      </c>
      <c r="F1478" s="11">
        <f>ROUNDUP(E1478*Controls!$B$4,4)</f>
        <v/>
      </c>
      <c r="G1478" s="12">
        <f>F1478/E1478</f>
        <v/>
      </c>
      <c r="H1478" s="10">
        <f>(A1478-B1478-(D1478-1))/(A1478-(D1478-1))</f>
        <v/>
      </c>
      <c r="I1478" s="9">
        <f>A1478&amp;'x'&amp;B1478</f>
        <v/>
      </c>
      <c r="J1478" s="9">
        <f>IF(AND(G1478&gt;0.9,G1478&lt;1),"OK","CHECK")</f>
        <v/>
      </c>
    </row>
    <row r="1479">
      <c r="A1479" s="9" t="n">
        <v>49</v>
      </c>
      <c r="B1479" s="9" t="n">
        <v>9</v>
      </c>
      <c r="C1479" s="9" t="n">
        <v>40</v>
      </c>
      <c r="D1479" s="9" t="n">
        <v>34</v>
      </c>
      <c r="E1479" s="10">
        <f>COMBIN(A1479,D1479)/COMBIN(A1479-B1479,D1479)</f>
        <v/>
      </c>
      <c r="F1479" s="11">
        <f>ROUNDUP(E1479*Controls!$B$4,4)</f>
        <v/>
      </c>
      <c r="G1479" s="12">
        <f>F1479/E1479</f>
        <v/>
      </c>
      <c r="H1479" s="10">
        <f>(A1479-B1479-(D1479-1))/(A1479-(D1479-1))</f>
        <v/>
      </c>
      <c r="I1479" s="9">
        <f>A1479&amp;'x'&amp;B1479</f>
        <v/>
      </c>
      <c r="J1479" s="9">
        <f>IF(AND(G1479&gt;0.9,G1479&lt;1),"OK","CHECK")</f>
        <v/>
      </c>
    </row>
    <row r="1480">
      <c r="A1480" s="9" t="n">
        <v>49</v>
      </c>
      <c r="B1480" s="9" t="n">
        <v>9</v>
      </c>
      <c r="C1480" s="9" t="n">
        <v>40</v>
      </c>
      <c r="D1480" s="9" t="n">
        <v>35</v>
      </c>
      <c r="E1480" s="10">
        <f>COMBIN(A1480,D1480)/COMBIN(A1480-B1480,D1480)</f>
        <v/>
      </c>
      <c r="F1480" s="11">
        <f>ROUNDUP(E1480*Controls!$B$4,4)</f>
        <v/>
      </c>
      <c r="G1480" s="12">
        <f>F1480/E1480</f>
        <v/>
      </c>
      <c r="H1480" s="10">
        <f>(A1480-B1480-(D1480-1))/(A1480-(D1480-1))</f>
        <v/>
      </c>
      <c r="I1480" s="9">
        <f>A1480&amp;'x'&amp;B1480</f>
        <v/>
      </c>
      <c r="J1480" s="9">
        <f>IF(AND(G1480&gt;0.9,G1480&lt;1),"OK","CHECK")</f>
        <v/>
      </c>
    </row>
    <row r="1481">
      <c r="A1481" s="9" t="n">
        <v>49</v>
      </c>
      <c r="B1481" s="9" t="n">
        <v>9</v>
      </c>
      <c r="C1481" s="9" t="n">
        <v>40</v>
      </c>
      <c r="D1481" s="9" t="n">
        <v>36</v>
      </c>
      <c r="E1481" s="10">
        <f>COMBIN(A1481,D1481)/COMBIN(A1481-B1481,D1481)</f>
        <v/>
      </c>
      <c r="F1481" s="11">
        <f>ROUNDUP(E1481*Controls!$B$4,4)</f>
        <v/>
      </c>
      <c r="G1481" s="12">
        <f>F1481/E1481</f>
        <v/>
      </c>
      <c r="H1481" s="10">
        <f>(A1481-B1481-(D1481-1))/(A1481-(D1481-1))</f>
        <v/>
      </c>
      <c r="I1481" s="9">
        <f>A1481&amp;'x'&amp;B1481</f>
        <v/>
      </c>
      <c r="J1481" s="9">
        <f>IF(AND(G1481&gt;0.9,G1481&lt;1),"OK","CHECK")</f>
        <v/>
      </c>
    </row>
    <row r="1482">
      <c r="A1482" s="9" t="n">
        <v>49</v>
      </c>
      <c r="B1482" s="9" t="n">
        <v>9</v>
      </c>
      <c r="C1482" s="9" t="n">
        <v>40</v>
      </c>
      <c r="D1482" s="9" t="n">
        <v>37</v>
      </c>
      <c r="E1482" s="10">
        <f>COMBIN(A1482,D1482)/COMBIN(A1482-B1482,D1482)</f>
        <v/>
      </c>
      <c r="F1482" s="11">
        <f>ROUNDUP(E1482*Controls!$B$4,4)</f>
        <v/>
      </c>
      <c r="G1482" s="12">
        <f>F1482/E1482</f>
        <v/>
      </c>
      <c r="H1482" s="10">
        <f>(A1482-B1482-(D1482-1))/(A1482-(D1482-1))</f>
        <v/>
      </c>
      <c r="I1482" s="9">
        <f>A1482&amp;'x'&amp;B1482</f>
        <v/>
      </c>
      <c r="J1482" s="9">
        <f>IF(AND(G1482&gt;0.9,G1482&lt;1),"OK","CHECK")</f>
        <v/>
      </c>
    </row>
    <row r="1483">
      <c r="A1483" s="9" t="n">
        <v>49</v>
      </c>
      <c r="B1483" s="9" t="n">
        <v>9</v>
      </c>
      <c r="C1483" s="9" t="n">
        <v>40</v>
      </c>
      <c r="D1483" s="9" t="n">
        <v>38</v>
      </c>
      <c r="E1483" s="10">
        <f>COMBIN(A1483,D1483)/COMBIN(A1483-B1483,D1483)</f>
        <v/>
      </c>
      <c r="F1483" s="11">
        <f>ROUNDUP(E1483*Controls!$B$4,4)</f>
        <v/>
      </c>
      <c r="G1483" s="12">
        <f>F1483/E1483</f>
        <v/>
      </c>
      <c r="H1483" s="10">
        <f>(A1483-B1483-(D1483-1))/(A1483-(D1483-1))</f>
        <v/>
      </c>
      <c r="I1483" s="9">
        <f>A1483&amp;'x'&amp;B1483</f>
        <v/>
      </c>
      <c r="J1483" s="9">
        <f>IF(AND(G1483&gt;0.9,G1483&lt;1),"OK","CHECK")</f>
        <v/>
      </c>
    </row>
    <row r="1484">
      <c r="A1484" s="9" t="n">
        <v>49</v>
      </c>
      <c r="B1484" s="9" t="n">
        <v>9</v>
      </c>
      <c r="C1484" s="9" t="n">
        <v>40</v>
      </c>
      <c r="D1484" s="9" t="n">
        <v>39</v>
      </c>
      <c r="E1484" s="10">
        <f>COMBIN(A1484,D1484)/COMBIN(A1484-B1484,D1484)</f>
        <v/>
      </c>
      <c r="F1484" s="11">
        <f>ROUNDUP(E1484*Controls!$B$4,4)</f>
        <v/>
      </c>
      <c r="G1484" s="12">
        <f>F1484/E1484</f>
        <v/>
      </c>
      <c r="H1484" s="10">
        <f>(A1484-B1484-(D1484-1))/(A1484-(D1484-1))</f>
        <v/>
      </c>
      <c r="I1484" s="9">
        <f>A1484&amp;'x'&amp;B1484</f>
        <v/>
      </c>
      <c r="J1484" s="9">
        <f>IF(AND(G1484&gt;0.9,G1484&lt;1),"OK","CHECK")</f>
        <v/>
      </c>
    </row>
    <row r="1485">
      <c r="A1485" s="9" t="n">
        <v>49</v>
      </c>
      <c r="B1485" s="9" t="n">
        <v>9</v>
      </c>
      <c r="C1485" s="9" t="n">
        <v>40</v>
      </c>
      <c r="D1485" s="9" t="n">
        <v>40</v>
      </c>
      <c r="E1485" s="10">
        <f>COMBIN(A1485,D1485)/COMBIN(A1485-B1485,D1485)</f>
        <v/>
      </c>
      <c r="F1485" s="11">
        <f>ROUNDUP(E1485*Controls!$B$4,4)</f>
        <v/>
      </c>
      <c r="G1485" s="12">
        <f>F1485/E1485</f>
        <v/>
      </c>
      <c r="H1485" s="10">
        <f>(A1485-B1485-(D1485-1))/(A1485-(D1485-1))</f>
        <v/>
      </c>
      <c r="I1485" s="9">
        <f>A1485&amp;'x'&amp;B1485</f>
        <v/>
      </c>
      <c r="J1485" s="9">
        <f>IF(AND(G1485&gt;0.9,G1485&lt;1),"OK","CHECK")</f>
        <v/>
      </c>
    </row>
    <row r="1486">
      <c r="A1486" s="9" t="n">
        <v>49</v>
      </c>
      <c r="B1486" s="9" t="n">
        <v>10</v>
      </c>
      <c r="C1486" s="9" t="n">
        <v>39</v>
      </c>
      <c r="D1486" s="9" t="n">
        <v>1</v>
      </c>
      <c r="E1486" s="10">
        <f>COMBIN(A1486,D1486)/COMBIN(A1486-B1486,D1486)</f>
        <v/>
      </c>
      <c r="F1486" s="11">
        <f>ROUNDUP(E1486*Controls!$B$4,4)</f>
        <v/>
      </c>
      <c r="G1486" s="12">
        <f>F1486/E1486</f>
        <v/>
      </c>
      <c r="H1486" s="10">
        <f>(A1486-B1486-(D1486-1))/(A1486-(D1486-1))</f>
        <v/>
      </c>
      <c r="I1486" s="9">
        <f>A1486&amp;'x'&amp;B1486</f>
        <v/>
      </c>
      <c r="J1486" s="9">
        <f>IF(AND(G1486&gt;0.9,G1486&lt;1),"OK","CHECK")</f>
        <v/>
      </c>
    </row>
    <row r="1487">
      <c r="A1487" s="9" t="n">
        <v>49</v>
      </c>
      <c r="B1487" s="9" t="n">
        <v>10</v>
      </c>
      <c r="C1487" s="9" t="n">
        <v>39</v>
      </c>
      <c r="D1487" s="9" t="n">
        <v>2</v>
      </c>
      <c r="E1487" s="10">
        <f>COMBIN(A1487,D1487)/COMBIN(A1487-B1487,D1487)</f>
        <v/>
      </c>
      <c r="F1487" s="11">
        <f>ROUNDUP(E1487*Controls!$B$4,4)</f>
        <v/>
      </c>
      <c r="G1487" s="12">
        <f>F1487/E1487</f>
        <v/>
      </c>
      <c r="H1487" s="10">
        <f>(A1487-B1487-(D1487-1))/(A1487-(D1487-1))</f>
        <v/>
      </c>
      <c r="I1487" s="9">
        <f>A1487&amp;'x'&amp;B1487</f>
        <v/>
      </c>
      <c r="J1487" s="9">
        <f>IF(AND(G1487&gt;0.9,G1487&lt;1),"OK","CHECK")</f>
        <v/>
      </c>
    </row>
    <row r="1488">
      <c r="A1488" s="9" t="n">
        <v>49</v>
      </c>
      <c r="B1488" s="9" t="n">
        <v>10</v>
      </c>
      <c r="C1488" s="9" t="n">
        <v>39</v>
      </c>
      <c r="D1488" s="9" t="n">
        <v>3</v>
      </c>
      <c r="E1488" s="10">
        <f>COMBIN(A1488,D1488)/COMBIN(A1488-B1488,D1488)</f>
        <v/>
      </c>
      <c r="F1488" s="11">
        <f>ROUNDUP(E1488*Controls!$B$4,4)</f>
        <v/>
      </c>
      <c r="G1488" s="12">
        <f>F1488/E1488</f>
        <v/>
      </c>
      <c r="H1488" s="10">
        <f>(A1488-B1488-(D1488-1))/(A1488-(D1488-1))</f>
        <v/>
      </c>
      <c r="I1488" s="9">
        <f>A1488&amp;'x'&amp;B1488</f>
        <v/>
      </c>
      <c r="J1488" s="9">
        <f>IF(AND(G1488&gt;0.9,G1488&lt;1),"OK","CHECK")</f>
        <v/>
      </c>
    </row>
    <row r="1489">
      <c r="A1489" s="9" t="n">
        <v>49</v>
      </c>
      <c r="B1489" s="9" t="n">
        <v>10</v>
      </c>
      <c r="C1489" s="9" t="n">
        <v>39</v>
      </c>
      <c r="D1489" s="9" t="n">
        <v>4</v>
      </c>
      <c r="E1489" s="10">
        <f>COMBIN(A1489,D1489)/COMBIN(A1489-B1489,D1489)</f>
        <v/>
      </c>
      <c r="F1489" s="11">
        <f>ROUNDUP(E1489*Controls!$B$4,4)</f>
        <v/>
      </c>
      <c r="G1489" s="12">
        <f>F1489/E1489</f>
        <v/>
      </c>
      <c r="H1489" s="10">
        <f>(A1489-B1489-(D1489-1))/(A1489-(D1489-1))</f>
        <v/>
      </c>
      <c r="I1489" s="9">
        <f>A1489&amp;'x'&amp;B1489</f>
        <v/>
      </c>
      <c r="J1489" s="9">
        <f>IF(AND(G1489&gt;0.9,G1489&lt;1),"OK","CHECK")</f>
        <v/>
      </c>
    </row>
    <row r="1490">
      <c r="A1490" s="9" t="n">
        <v>49</v>
      </c>
      <c r="B1490" s="9" t="n">
        <v>10</v>
      </c>
      <c r="C1490" s="9" t="n">
        <v>39</v>
      </c>
      <c r="D1490" s="9" t="n">
        <v>5</v>
      </c>
      <c r="E1490" s="10">
        <f>COMBIN(A1490,D1490)/COMBIN(A1490-B1490,D1490)</f>
        <v/>
      </c>
      <c r="F1490" s="11">
        <f>ROUNDUP(E1490*Controls!$B$4,4)</f>
        <v/>
      </c>
      <c r="G1490" s="12">
        <f>F1490/E1490</f>
        <v/>
      </c>
      <c r="H1490" s="10">
        <f>(A1490-B1490-(D1490-1))/(A1490-(D1490-1))</f>
        <v/>
      </c>
      <c r="I1490" s="9">
        <f>A1490&amp;'x'&amp;B1490</f>
        <v/>
      </c>
      <c r="J1490" s="9">
        <f>IF(AND(G1490&gt;0.9,G1490&lt;1),"OK","CHECK")</f>
        <v/>
      </c>
    </row>
    <row r="1491">
      <c r="A1491" s="9" t="n">
        <v>49</v>
      </c>
      <c r="B1491" s="9" t="n">
        <v>10</v>
      </c>
      <c r="C1491" s="9" t="n">
        <v>39</v>
      </c>
      <c r="D1491" s="9" t="n">
        <v>6</v>
      </c>
      <c r="E1491" s="10">
        <f>COMBIN(A1491,D1491)/COMBIN(A1491-B1491,D1491)</f>
        <v/>
      </c>
      <c r="F1491" s="11">
        <f>ROUNDUP(E1491*Controls!$B$4,4)</f>
        <v/>
      </c>
      <c r="G1491" s="12">
        <f>F1491/E1491</f>
        <v/>
      </c>
      <c r="H1491" s="10">
        <f>(A1491-B1491-(D1491-1))/(A1491-(D1491-1))</f>
        <v/>
      </c>
      <c r="I1491" s="9">
        <f>A1491&amp;'x'&amp;B1491</f>
        <v/>
      </c>
      <c r="J1491" s="9">
        <f>IF(AND(G1491&gt;0.9,G1491&lt;1),"OK","CHECK")</f>
        <v/>
      </c>
    </row>
    <row r="1492">
      <c r="A1492" s="9" t="n">
        <v>49</v>
      </c>
      <c r="B1492" s="9" t="n">
        <v>10</v>
      </c>
      <c r="C1492" s="9" t="n">
        <v>39</v>
      </c>
      <c r="D1492" s="9" t="n">
        <v>7</v>
      </c>
      <c r="E1492" s="10">
        <f>COMBIN(A1492,D1492)/COMBIN(A1492-B1492,D1492)</f>
        <v/>
      </c>
      <c r="F1492" s="11">
        <f>ROUNDUP(E1492*Controls!$B$4,4)</f>
        <v/>
      </c>
      <c r="G1492" s="12">
        <f>F1492/E1492</f>
        <v/>
      </c>
      <c r="H1492" s="10">
        <f>(A1492-B1492-(D1492-1))/(A1492-(D1492-1))</f>
        <v/>
      </c>
      <c r="I1492" s="9">
        <f>A1492&amp;'x'&amp;B1492</f>
        <v/>
      </c>
      <c r="J1492" s="9">
        <f>IF(AND(G1492&gt;0.9,G1492&lt;1),"OK","CHECK")</f>
        <v/>
      </c>
    </row>
    <row r="1493">
      <c r="A1493" s="9" t="n">
        <v>49</v>
      </c>
      <c r="B1493" s="9" t="n">
        <v>10</v>
      </c>
      <c r="C1493" s="9" t="n">
        <v>39</v>
      </c>
      <c r="D1493" s="9" t="n">
        <v>8</v>
      </c>
      <c r="E1493" s="10">
        <f>COMBIN(A1493,D1493)/COMBIN(A1493-B1493,D1493)</f>
        <v/>
      </c>
      <c r="F1493" s="11">
        <f>ROUNDUP(E1493*Controls!$B$4,4)</f>
        <v/>
      </c>
      <c r="G1493" s="12">
        <f>F1493/E1493</f>
        <v/>
      </c>
      <c r="H1493" s="10">
        <f>(A1493-B1493-(D1493-1))/(A1493-(D1493-1))</f>
        <v/>
      </c>
      <c r="I1493" s="9">
        <f>A1493&amp;'x'&amp;B1493</f>
        <v/>
      </c>
      <c r="J1493" s="9">
        <f>IF(AND(G1493&gt;0.9,G1493&lt;1),"OK","CHECK")</f>
        <v/>
      </c>
    </row>
    <row r="1494">
      <c r="A1494" s="9" t="n">
        <v>49</v>
      </c>
      <c r="B1494" s="9" t="n">
        <v>10</v>
      </c>
      <c r="C1494" s="9" t="n">
        <v>39</v>
      </c>
      <c r="D1494" s="9" t="n">
        <v>9</v>
      </c>
      <c r="E1494" s="10">
        <f>COMBIN(A1494,D1494)/COMBIN(A1494-B1494,D1494)</f>
        <v/>
      </c>
      <c r="F1494" s="11">
        <f>ROUNDUP(E1494*Controls!$B$4,4)</f>
        <v/>
      </c>
      <c r="G1494" s="12">
        <f>F1494/E1494</f>
        <v/>
      </c>
      <c r="H1494" s="10">
        <f>(A1494-B1494-(D1494-1))/(A1494-(D1494-1))</f>
        <v/>
      </c>
      <c r="I1494" s="9">
        <f>A1494&amp;'x'&amp;B1494</f>
        <v/>
      </c>
      <c r="J1494" s="9">
        <f>IF(AND(G1494&gt;0.9,G1494&lt;1),"OK","CHECK")</f>
        <v/>
      </c>
    </row>
    <row r="1495">
      <c r="A1495" s="9" t="n">
        <v>49</v>
      </c>
      <c r="B1495" s="9" t="n">
        <v>10</v>
      </c>
      <c r="C1495" s="9" t="n">
        <v>39</v>
      </c>
      <c r="D1495" s="9" t="n">
        <v>10</v>
      </c>
      <c r="E1495" s="10">
        <f>COMBIN(A1495,D1495)/COMBIN(A1495-B1495,D1495)</f>
        <v/>
      </c>
      <c r="F1495" s="11">
        <f>ROUNDUP(E1495*Controls!$B$4,4)</f>
        <v/>
      </c>
      <c r="G1495" s="12">
        <f>F1495/E1495</f>
        <v/>
      </c>
      <c r="H1495" s="10">
        <f>(A1495-B1495-(D1495-1))/(A1495-(D1495-1))</f>
        <v/>
      </c>
      <c r="I1495" s="9">
        <f>A1495&amp;'x'&amp;B1495</f>
        <v/>
      </c>
      <c r="J1495" s="9">
        <f>IF(AND(G1495&gt;0.9,G1495&lt;1),"OK","CHECK")</f>
        <v/>
      </c>
    </row>
    <row r="1496">
      <c r="A1496" s="9" t="n">
        <v>49</v>
      </c>
      <c r="B1496" s="9" t="n">
        <v>10</v>
      </c>
      <c r="C1496" s="9" t="n">
        <v>39</v>
      </c>
      <c r="D1496" s="9" t="n">
        <v>11</v>
      </c>
      <c r="E1496" s="10">
        <f>COMBIN(A1496,D1496)/COMBIN(A1496-B1496,D1496)</f>
        <v/>
      </c>
      <c r="F1496" s="11">
        <f>ROUNDUP(E1496*Controls!$B$4,4)</f>
        <v/>
      </c>
      <c r="G1496" s="12">
        <f>F1496/E1496</f>
        <v/>
      </c>
      <c r="H1496" s="10">
        <f>(A1496-B1496-(D1496-1))/(A1496-(D1496-1))</f>
        <v/>
      </c>
      <c r="I1496" s="9">
        <f>A1496&amp;'x'&amp;B1496</f>
        <v/>
      </c>
      <c r="J1496" s="9">
        <f>IF(AND(G1496&gt;0.9,G1496&lt;1),"OK","CHECK")</f>
        <v/>
      </c>
    </row>
    <row r="1497">
      <c r="A1497" s="9" t="n">
        <v>49</v>
      </c>
      <c r="B1497" s="9" t="n">
        <v>10</v>
      </c>
      <c r="C1497" s="9" t="n">
        <v>39</v>
      </c>
      <c r="D1497" s="9" t="n">
        <v>12</v>
      </c>
      <c r="E1497" s="10">
        <f>COMBIN(A1497,D1497)/COMBIN(A1497-B1497,D1497)</f>
        <v/>
      </c>
      <c r="F1497" s="11">
        <f>ROUNDUP(E1497*Controls!$B$4,4)</f>
        <v/>
      </c>
      <c r="G1497" s="12">
        <f>F1497/E1497</f>
        <v/>
      </c>
      <c r="H1497" s="10">
        <f>(A1497-B1497-(D1497-1))/(A1497-(D1497-1))</f>
        <v/>
      </c>
      <c r="I1497" s="9">
        <f>A1497&amp;'x'&amp;B1497</f>
        <v/>
      </c>
      <c r="J1497" s="9">
        <f>IF(AND(G1497&gt;0.9,G1497&lt;1),"OK","CHECK")</f>
        <v/>
      </c>
    </row>
    <row r="1498">
      <c r="A1498" s="9" t="n">
        <v>49</v>
      </c>
      <c r="B1498" s="9" t="n">
        <v>10</v>
      </c>
      <c r="C1498" s="9" t="n">
        <v>39</v>
      </c>
      <c r="D1498" s="9" t="n">
        <v>13</v>
      </c>
      <c r="E1498" s="10">
        <f>COMBIN(A1498,D1498)/COMBIN(A1498-B1498,D1498)</f>
        <v/>
      </c>
      <c r="F1498" s="11">
        <f>ROUNDUP(E1498*Controls!$B$4,4)</f>
        <v/>
      </c>
      <c r="G1498" s="12">
        <f>F1498/E1498</f>
        <v/>
      </c>
      <c r="H1498" s="10">
        <f>(A1498-B1498-(D1498-1))/(A1498-(D1498-1))</f>
        <v/>
      </c>
      <c r="I1498" s="9">
        <f>A1498&amp;'x'&amp;B1498</f>
        <v/>
      </c>
      <c r="J1498" s="9">
        <f>IF(AND(G1498&gt;0.9,G1498&lt;1),"OK","CHECK")</f>
        <v/>
      </c>
    </row>
    <row r="1499">
      <c r="A1499" s="9" t="n">
        <v>49</v>
      </c>
      <c r="B1499" s="9" t="n">
        <v>10</v>
      </c>
      <c r="C1499" s="9" t="n">
        <v>39</v>
      </c>
      <c r="D1499" s="9" t="n">
        <v>14</v>
      </c>
      <c r="E1499" s="10">
        <f>COMBIN(A1499,D1499)/COMBIN(A1499-B1499,D1499)</f>
        <v/>
      </c>
      <c r="F1499" s="11">
        <f>ROUNDUP(E1499*Controls!$B$4,4)</f>
        <v/>
      </c>
      <c r="G1499" s="12">
        <f>F1499/E1499</f>
        <v/>
      </c>
      <c r="H1499" s="10">
        <f>(A1499-B1499-(D1499-1))/(A1499-(D1499-1))</f>
        <v/>
      </c>
      <c r="I1499" s="9">
        <f>A1499&amp;'x'&amp;B1499</f>
        <v/>
      </c>
      <c r="J1499" s="9">
        <f>IF(AND(G1499&gt;0.9,G1499&lt;1),"OK","CHECK")</f>
        <v/>
      </c>
    </row>
    <row r="1500">
      <c r="A1500" s="9" t="n">
        <v>49</v>
      </c>
      <c r="B1500" s="9" t="n">
        <v>10</v>
      </c>
      <c r="C1500" s="9" t="n">
        <v>39</v>
      </c>
      <c r="D1500" s="9" t="n">
        <v>15</v>
      </c>
      <c r="E1500" s="10">
        <f>COMBIN(A1500,D1500)/COMBIN(A1500-B1500,D1500)</f>
        <v/>
      </c>
      <c r="F1500" s="11">
        <f>ROUNDUP(E1500*Controls!$B$4,4)</f>
        <v/>
      </c>
      <c r="G1500" s="12">
        <f>F1500/E1500</f>
        <v/>
      </c>
      <c r="H1500" s="10">
        <f>(A1500-B1500-(D1500-1))/(A1500-(D1500-1))</f>
        <v/>
      </c>
      <c r="I1500" s="9">
        <f>A1500&amp;'x'&amp;B1500</f>
        <v/>
      </c>
      <c r="J1500" s="9">
        <f>IF(AND(G1500&gt;0.9,G1500&lt;1),"OK","CHECK")</f>
        <v/>
      </c>
    </row>
    <row r="1501">
      <c r="A1501" s="9" t="n">
        <v>49</v>
      </c>
      <c r="B1501" s="9" t="n">
        <v>10</v>
      </c>
      <c r="C1501" s="9" t="n">
        <v>39</v>
      </c>
      <c r="D1501" s="9" t="n">
        <v>16</v>
      </c>
      <c r="E1501" s="10">
        <f>COMBIN(A1501,D1501)/COMBIN(A1501-B1501,D1501)</f>
        <v/>
      </c>
      <c r="F1501" s="11">
        <f>ROUNDUP(E1501*Controls!$B$4,4)</f>
        <v/>
      </c>
      <c r="G1501" s="12">
        <f>F1501/E1501</f>
        <v/>
      </c>
      <c r="H1501" s="10">
        <f>(A1501-B1501-(D1501-1))/(A1501-(D1501-1))</f>
        <v/>
      </c>
      <c r="I1501" s="9">
        <f>A1501&amp;'x'&amp;B1501</f>
        <v/>
      </c>
      <c r="J1501" s="9">
        <f>IF(AND(G1501&gt;0.9,G1501&lt;1),"OK","CHECK")</f>
        <v/>
      </c>
    </row>
    <row r="1502">
      <c r="A1502" s="9" t="n">
        <v>49</v>
      </c>
      <c r="B1502" s="9" t="n">
        <v>10</v>
      </c>
      <c r="C1502" s="9" t="n">
        <v>39</v>
      </c>
      <c r="D1502" s="9" t="n">
        <v>17</v>
      </c>
      <c r="E1502" s="10">
        <f>COMBIN(A1502,D1502)/COMBIN(A1502-B1502,D1502)</f>
        <v/>
      </c>
      <c r="F1502" s="11">
        <f>ROUNDUP(E1502*Controls!$B$4,4)</f>
        <v/>
      </c>
      <c r="G1502" s="12">
        <f>F1502/E1502</f>
        <v/>
      </c>
      <c r="H1502" s="10">
        <f>(A1502-B1502-(D1502-1))/(A1502-(D1502-1))</f>
        <v/>
      </c>
      <c r="I1502" s="9">
        <f>A1502&amp;'x'&amp;B1502</f>
        <v/>
      </c>
      <c r="J1502" s="9">
        <f>IF(AND(G1502&gt;0.9,G1502&lt;1),"OK","CHECK")</f>
        <v/>
      </c>
    </row>
    <row r="1503">
      <c r="A1503" s="9" t="n">
        <v>49</v>
      </c>
      <c r="B1503" s="9" t="n">
        <v>10</v>
      </c>
      <c r="C1503" s="9" t="n">
        <v>39</v>
      </c>
      <c r="D1503" s="9" t="n">
        <v>18</v>
      </c>
      <c r="E1503" s="10">
        <f>COMBIN(A1503,D1503)/COMBIN(A1503-B1503,D1503)</f>
        <v/>
      </c>
      <c r="F1503" s="11">
        <f>ROUNDUP(E1503*Controls!$B$4,4)</f>
        <v/>
      </c>
      <c r="G1503" s="12">
        <f>F1503/E1503</f>
        <v/>
      </c>
      <c r="H1503" s="10">
        <f>(A1503-B1503-(D1503-1))/(A1503-(D1503-1))</f>
        <v/>
      </c>
      <c r="I1503" s="9">
        <f>A1503&amp;'x'&amp;B1503</f>
        <v/>
      </c>
      <c r="J1503" s="9">
        <f>IF(AND(G1503&gt;0.9,G1503&lt;1),"OK","CHECK")</f>
        <v/>
      </c>
    </row>
    <row r="1504">
      <c r="A1504" s="9" t="n">
        <v>49</v>
      </c>
      <c r="B1504" s="9" t="n">
        <v>10</v>
      </c>
      <c r="C1504" s="9" t="n">
        <v>39</v>
      </c>
      <c r="D1504" s="9" t="n">
        <v>19</v>
      </c>
      <c r="E1504" s="10">
        <f>COMBIN(A1504,D1504)/COMBIN(A1504-B1504,D1504)</f>
        <v/>
      </c>
      <c r="F1504" s="11">
        <f>ROUNDUP(E1504*Controls!$B$4,4)</f>
        <v/>
      </c>
      <c r="G1504" s="12">
        <f>F1504/E1504</f>
        <v/>
      </c>
      <c r="H1504" s="10">
        <f>(A1504-B1504-(D1504-1))/(A1504-(D1504-1))</f>
        <v/>
      </c>
      <c r="I1504" s="9">
        <f>A1504&amp;'x'&amp;B1504</f>
        <v/>
      </c>
      <c r="J1504" s="9">
        <f>IF(AND(G1504&gt;0.9,G1504&lt;1),"OK","CHECK")</f>
        <v/>
      </c>
    </row>
    <row r="1505">
      <c r="A1505" s="9" t="n">
        <v>49</v>
      </c>
      <c r="B1505" s="9" t="n">
        <v>10</v>
      </c>
      <c r="C1505" s="9" t="n">
        <v>39</v>
      </c>
      <c r="D1505" s="9" t="n">
        <v>20</v>
      </c>
      <c r="E1505" s="10">
        <f>COMBIN(A1505,D1505)/COMBIN(A1505-B1505,D1505)</f>
        <v/>
      </c>
      <c r="F1505" s="11">
        <f>ROUNDUP(E1505*Controls!$B$4,4)</f>
        <v/>
      </c>
      <c r="G1505" s="12">
        <f>F1505/E1505</f>
        <v/>
      </c>
      <c r="H1505" s="10">
        <f>(A1505-B1505-(D1505-1))/(A1505-(D1505-1))</f>
        <v/>
      </c>
      <c r="I1505" s="9">
        <f>A1505&amp;'x'&amp;B1505</f>
        <v/>
      </c>
      <c r="J1505" s="9">
        <f>IF(AND(G1505&gt;0.9,G1505&lt;1),"OK","CHECK")</f>
        <v/>
      </c>
    </row>
    <row r="1506">
      <c r="A1506" s="9" t="n">
        <v>49</v>
      </c>
      <c r="B1506" s="9" t="n">
        <v>10</v>
      </c>
      <c r="C1506" s="9" t="n">
        <v>39</v>
      </c>
      <c r="D1506" s="9" t="n">
        <v>21</v>
      </c>
      <c r="E1506" s="10">
        <f>COMBIN(A1506,D1506)/COMBIN(A1506-B1506,D1506)</f>
        <v/>
      </c>
      <c r="F1506" s="11">
        <f>ROUNDUP(E1506*Controls!$B$4,4)</f>
        <v/>
      </c>
      <c r="G1506" s="12">
        <f>F1506/E1506</f>
        <v/>
      </c>
      <c r="H1506" s="10">
        <f>(A1506-B1506-(D1506-1))/(A1506-(D1506-1))</f>
        <v/>
      </c>
      <c r="I1506" s="9">
        <f>A1506&amp;'x'&amp;B1506</f>
        <v/>
      </c>
      <c r="J1506" s="9">
        <f>IF(AND(G1506&gt;0.9,G1506&lt;1),"OK","CHECK")</f>
        <v/>
      </c>
    </row>
    <row r="1507">
      <c r="A1507" s="9" t="n">
        <v>49</v>
      </c>
      <c r="B1507" s="9" t="n">
        <v>10</v>
      </c>
      <c r="C1507" s="9" t="n">
        <v>39</v>
      </c>
      <c r="D1507" s="9" t="n">
        <v>22</v>
      </c>
      <c r="E1507" s="10">
        <f>COMBIN(A1507,D1507)/COMBIN(A1507-B1507,D1507)</f>
        <v/>
      </c>
      <c r="F1507" s="11">
        <f>ROUNDUP(E1507*Controls!$B$4,4)</f>
        <v/>
      </c>
      <c r="G1507" s="12">
        <f>F1507/E1507</f>
        <v/>
      </c>
      <c r="H1507" s="10">
        <f>(A1507-B1507-(D1507-1))/(A1507-(D1507-1))</f>
        <v/>
      </c>
      <c r="I1507" s="9">
        <f>A1507&amp;'x'&amp;B1507</f>
        <v/>
      </c>
      <c r="J1507" s="9">
        <f>IF(AND(G1507&gt;0.9,G1507&lt;1),"OK","CHECK")</f>
        <v/>
      </c>
    </row>
    <row r="1508">
      <c r="A1508" s="9" t="n">
        <v>49</v>
      </c>
      <c r="B1508" s="9" t="n">
        <v>10</v>
      </c>
      <c r="C1508" s="9" t="n">
        <v>39</v>
      </c>
      <c r="D1508" s="9" t="n">
        <v>23</v>
      </c>
      <c r="E1508" s="10">
        <f>COMBIN(A1508,D1508)/COMBIN(A1508-B1508,D1508)</f>
        <v/>
      </c>
      <c r="F1508" s="11">
        <f>ROUNDUP(E1508*Controls!$B$4,4)</f>
        <v/>
      </c>
      <c r="G1508" s="12">
        <f>F1508/E1508</f>
        <v/>
      </c>
      <c r="H1508" s="10">
        <f>(A1508-B1508-(D1508-1))/(A1508-(D1508-1))</f>
        <v/>
      </c>
      <c r="I1508" s="9">
        <f>A1508&amp;'x'&amp;B1508</f>
        <v/>
      </c>
      <c r="J1508" s="9">
        <f>IF(AND(G1508&gt;0.9,G1508&lt;1),"OK","CHECK")</f>
        <v/>
      </c>
    </row>
    <row r="1509">
      <c r="A1509" s="9" t="n">
        <v>49</v>
      </c>
      <c r="B1509" s="9" t="n">
        <v>10</v>
      </c>
      <c r="C1509" s="9" t="n">
        <v>39</v>
      </c>
      <c r="D1509" s="9" t="n">
        <v>24</v>
      </c>
      <c r="E1509" s="10">
        <f>COMBIN(A1509,D1509)/COMBIN(A1509-B1509,D1509)</f>
        <v/>
      </c>
      <c r="F1509" s="11">
        <f>ROUNDUP(E1509*Controls!$B$4,4)</f>
        <v/>
      </c>
      <c r="G1509" s="12">
        <f>F1509/E1509</f>
        <v/>
      </c>
      <c r="H1509" s="10">
        <f>(A1509-B1509-(D1509-1))/(A1509-(D1509-1))</f>
        <v/>
      </c>
      <c r="I1509" s="9">
        <f>A1509&amp;'x'&amp;B1509</f>
        <v/>
      </c>
      <c r="J1509" s="9">
        <f>IF(AND(G1509&gt;0.9,G1509&lt;1),"OK","CHECK")</f>
        <v/>
      </c>
    </row>
    <row r="1510">
      <c r="A1510" s="9" t="n">
        <v>49</v>
      </c>
      <c r="B1510" s="9" t="n">
        <v>10</v>
      </c>
      <c r="C1510" s="9" t="n">
        <v>39</v>
      </c>
      <c r="D1510" s="9" t="n">
        <v>25</v>
      </c>
      <c r="E1510" s="10">
        <f>COMBIN(A1510,D1510)/COMBIN(A1510-B1510,D1510)</f>
        <v/>
      </c>
      <c r="F1510" s="11">
        <f>ROUNDUP(E1510*Controls!$B$4,4)</f>
        <v/>
      </c>
      <c r="G1510" s="12">
        <f>F1510/E1510</f>
        <v/>
      </c>
      <c r="H1510" s="10">
        <f>(A1510-B1510-(D1510-1))/(A1510-(D1510-1))</f>
        <v/>
      </c>
      <c r="I1510" s="9">
        <f>A1510&amp;'x'&amp;B1510</f>
        <v/>
      </c>
      <c r="J1510" s="9">
        <f>IF(AND(G1510&gt;0.9,G1510&lt;1),"OK","CHECK")</f>
        <v/>
      </c>
    </row>
    <row r="1511">
      <c r="A1511" s="9" t="n">
        <v>49</v>
      </c>
      <c r="B1511" s="9" t="n">
        <v>10</v>
      </c>
      <c r="C1511" s="9" t="n">
        <v>39</v>
      </c>
      <c r="D1511" s="9" t="n">
        <v>26</v>
      </c>
      <c r="E1511" s="10">
        <f>COMBIN(A1511,D1511)/COMBIN(A1511-B1511,D1511)</f>
        <v/>
      </c>
      <c r="F1511" s="11">
        <f>ROUNDUP(E1511*Controls!$B$4,4)</f>
        <v/>
      </c>
      <c r="G1511" s="12">
        <f>F1511/E1511</f>
        <v/>
      </c>
      <c r="H1511" s="10">
        <f>(A1511-B1511-(D1511-1))/(A1511-(D1511-1))</f>
        <v/>
      </c>
      <c r="I1511" s="9">
        <f>A1511&amp;'x'&amp;B1511</f>
        <v/>
      </c>
      <c r="J1511" s="9">
        <f>IF(AND(G1511&gt;0.9,G1511&lt;1),"OK","CHECK")</f>
        <v/>
      </c>
    </row>
    <row r="1512">
      <c r="A1512" s="9" t="n">
        <v>49</v>
      </c>
      <c r="B1512" s="9" t="n">
        <v>10</v>
      </c>
      <c r="C1512" s="9" t="n">
        <v>39</v>
      </c>
      <c r="D1512" s="9" t="n">
        <v>27</v>
      </c>
      <c r="E1512" s="10">
        <f>COMBIN(A1512,D1512)/COMBIN(A1512-B1512,D1512)</f>
        <v/>
      </c>
      <c r="F1512" s="11">
        <f>ROUNDUP(E1512*Controls!$B$4,4)</f>
        <v/>
      </c>
      <c r="G1512" s="12">
        <f>F1512/E1512</f>
        <v/>
      </c>
      <c r="H1512" s="10">
        <f>(A1512-B1512-(D1512-1))/(A1512-(D1512-1))</f>
        <v/>
      </c>
      <c r="I1512" s="9">
        <f>A1512&amp;'x'&amp;B1512</f>
        <v/>
      </c>
      <c r="J1512" s="9">
        <f>IF(AND(G1512&gt;0.9,G1512&lt;1),"OK","CHECK")</f>
        <v/>
      </c>
    </row>
    <row r="1513">
      <c r="A1513" s="9" t="n">
        <v>49</v>
      </c>
      <c r="B1513" s="9" t="n">
        <v>10</v>
      </c>
      <c r="C1513" s="9" t="n">
        <v>39</v>
      </c>
      <c r="D1513" s="9" t="n">
        <v>28</v>
      </c>
      <c r="E1513" s="10">
        <f>COMBIN(A1513,D1513)/COMBIN(A1513-B1513,D1513)</f>
        <v/>
      </c>
      <c r="F1513" s="11">
        <f>ROUNDUP(E1513*Controls!$B$4,4)</f>
        <v/>
      </c>
      <c r="G1513" s="12">
        <f>F1513/E1513</f>
        <v/>
      </c>
      <c r="H1513" s="10">
        <f>(A1513-B1513-(D1513-1))/(A1513-(D1513-1))</f>
        <v/>
      </c>
      <c r="I1513" s="9">
        <f>A1513&amp;'x'&amp;B1513</f>
        <v/>
      </c>
      <c r="J1513" s="9">
        <f>IF(AND(G1513&gt;0.9,G1513&lt;1),"OK","CHECK")</f>
        <v/>
      </c>
    </row>
    <row r="1514">
      <c r="A1514" s="9" t="n">
        <v>49</v>
      </c>
      <c r="B1514" s="9" t="n">
        <v>10</v>
      </c>
      <c r="C1514" s="9" t="n">
        <v>39</v>
      </c>
      <c r="D1514" s="9" t="n">
        <v>29</v>
      </c>
      <c r="E1514" s="10">
        <f>COMBIN(A1514,D1514)/COMBIN(A1514-B1514,D1514)</f>
        <v/>
      </c>
      <c r="F1514" s="11">
        <f>ROUNDUP(E1514*Controls!$B$4,4)</f>
        <v/>
      </c>
      <c r="G1514" s="12">
        <f>F1514/E1514</f>
        <v/>
      </c>
      <c r="H1514" s="10">
        <f>(A1514-B1514-(D1514-1))/(A1514-(D1514-1))</f>
        <v/>
      </c>
      <c r="I1514" s="9">
        <f>A1514&amp;'x'&amp;B1514</f>
        <v/>
      </c>
      <c r="J1514" s="9">
        <f>IF(AND(G1514&gt;0.9,G1514&lt;1),"OK","CHECK")</f>
        <v/>
      </c>
    </row>
    <row r="1515">
      <c r="A1515" s="9" t="n">
        <v>49</v>
      </c>
      <c r="B1515" s="9" t="n">
        <v>10</v>
      </c>
      <c r="C1515" s="9" t="n">
        <v>39</v>
      </c>
      <c r="D1515" s="9" t="n">
        <v>30</v>
      </c>
      <c r="E1515" s="10">
        <f>COMBIN(A1515,D1515)/COMBIN(A1515-B1515,D1515)</f>
        <v/>
      </c>
      <c r="F1515" s="11">
        <f>ROUNDUP(E1515*Controls!$B$4,4)</f>
        <v/>
      </c>
      <c r="G1515" s="12">
        <f>F1515/E1515</f>
        <v/>
      </c>
      <c r="H1515" s="10">
        <f>(A1515-B1515-(D1515-1))/(A1515-(D1515-1))</f>
        <v/>
      </c>
      <c r="I1515" s="9">
        <f>A1515&amp;'x'&amp;B1515</f>
        <v/>
      </c>
      <c r="J1515" s="9">
        <f>IF(AND(G1515&gt;0.9,G1515&lt;1),"OK","CHECK")</f>
        <v/>
      </c>
    </row>
    <row r="1516">
      <c r="A1516" s="9" t="n">
        <v>49</v>
      </c>
      <c r="B1516" s="9" t="n">
        <v>10</v>
      </c>
      <c r="C1516" s="9" t="n">
        <v>39</v>
      </c>
      <c r="D1516" s="9" t="n">
        <v>31</v>
      </c>
      <c r="E1516" s="10">
        <f>COMBIN(A1516,D1516)/COMBIN(A1516-B1516,D1516)</f>
        <v/>
      </c>
      <c r="F1516" s="11">
        <f>ROUNDUP(E1516*Controls!$B$4,4)</f>
        <v/>
      </c>
      <c r="G1516" s="12">
        <f>F1516/E1516</f>
        <v/>
      </c>
      <c r="H1516" s="10">
        <f>(A1516-B1516-(D1516-1))/(A1516-(D1516-1))</f>
        <v/>
      </c>
      <c r="I1516" s="9">
        <f>A1516&amp;'x'&amp;B1516</f>
        <v/>
      </c>
      <c r="J1516" s="9">
        <f>IF(AND(G1516&gt;0.9,G1516&lt;1),"OK","CHECK")</f>
        <v/>
      </c>
    </row>
    <row r="1517">
      <c r="A1517" s="9" t="n">
        <v>49</v>
      </c>
      <c r="B1517" s="9" t="n">
        <v>10</v>
      </c>
      <c r="C1517" s="9" t="n">
        <v>39</v>
      </c>
      <c r="D1517" s="9" t="n">
        <v>32</v>
      </c>
      <c r="E1517" s="10">
        <f>COMBIN(A1517,D1517)/COMBIN(A1517-B1517,D1517)</f>
        <v/>
      </c>
      <c r="F1517" s="11">
        <f>ROUNDUP(E1517*Controls!$B$4,4)</f>
        <v/>
      </c>
      <c r="G1517" s="12">
        <f>F1517/E1517</f>
        <v/>
      </c>
      <c r="H1517" s="10">
        <f>(A1517-B1517-(D1517-1))/(A1517-(D1517-1))</f>
        <v/>
      </c>
      <c r="I1517" s="9">
        <f>A1517&amp;'x'&amp;B1517</f>
        <v/>
      </c>
      <c r="J1517" s="9">
        <f>IF(AND(G1517&gt;0.9,G1517&lt;1),"OK","CHECK")</f>
        <v/>
      </c>
    </row>
    <row r="1518">
      <c r="A1518" s="9" t="n">
        <v>49</v>
      </c>
      <c r="B1518" s="9" t="n">
        <v>10</v>
      </c>
      <c r="C1518" s="9" t="n">
        <v>39</v>
      </c>
      <c r="D1518" s="9" t="n">
        <v>33</v>
      </c>
      <c r="E1518" s="10">
        <f>COMBIN(A1518,D1518)/COMBIN(A1518-B1518,D1518)</f>
        <v/>
      </c>
      <c r="F1518" s="11">
        <f>ROUNDUP(E1518*Controls!$B$4,4)</f>
        <v/>
      </c>
      <c r="G1518" s="12">
        <f>F1518/E1518</f>
        <v/>
      </c>
      <c r="H1518" s="10">
        <f>(A1518-B1518-(D1518-1))/(A1518-(D1518-1))</f>
        <v/>
      </c>
      <c r="I1518" s="9">
        <f>A1518&amp;'x'&amp;B1518</f>
        <v/>
      </c>
      <c r="J1518" s="9">
        <f>IF(AND(G1518&gt;0.9,G1518&lt;1),"OK","CHECK")</f>
        <v/>
      </c>
    </row>
    <row r="1519">
      <c r="A1519" s="9" t="n">
        <v>49</v>
      </c>
      <c r="B1519" s="9" t="n">
        <v>10</v>
      </c>
      <c r="C1519" s="9" t="n">
        <v>39</v>
      </c>
      <c r="D1519" s="9" t="n">
        <v>34</v>
      </c>
      <c r="E1519" s="10">
        <f>COMBIN(A1519,D1519)/COMBIN(A1519-B1519,D1519)</f>
        <v/>
      </c>
      <c r="F1519" s="11">
        <f>ROUNDUP(E1519*Controls!$B$4,4)</f>
        <v/>
      </c>
      <c r="G1519" s="12">
        <f>F1519/E1519</f>
        <v/>
      </c>
      <c r="H1519" s="10">
        <f>(A1519-B1519-(D1519-1))/(A1519-(D1519-1))</f>
        <v/>
      </c>
      <c r="I1519" s="9">
        <f>A1519&amp;'x'&amp;B1519</f>
        <v/>
      </c>
      <c r="J1519" s="9">
        <f>IF(AND(G1519&gt;0.9,G1519&lt;1),"OK","CHECK")</f>
        <v/>
      </c>
    </row>
    <row r="1520">
      <c r="A1520" s="9" t="n">
        <v>49</v>
      </c>
      <c r="B1520" s="9" t="n">
        <v>10</v>
      </c>
      <c r="C1520" s="9" t="n">
        <v>39</v>
      </c>
      <c r="D1520" s="9" t="n">
        <v>35</v>
      </c>
      <c r="E1520" s="10">
        <f>COMBIN(A1520,D1520)/COMBIN(A1520-B1520,D1520)</f>
        <v/>
      </c>
      <c r="F1520" s="11">
        <f>ROUNDUP(E1520*Controls!$B$4,4)</f>
        <v/>
      </c>
      <c r="G1520" s="12">
        <f>F1520/E1520</f>
        <v/>
      </c>
      <c r="H1520" s="10">
        <f>(A1520-B1520-(D1520-1))/(A1520-(D1520-1))</f>
        <v/>
      </c>
      <c r="I1520" s="9">
        <f>A1520&amp;'x'&amp;B1520</f>
        <v/>
      </c>
      <c r="J1520" s="9">
        <f>IF(AND(G1520&gt;0.9,G1520&lt;1),"OK","CHECK")</f>
        <v/>
      </c>
    </row>
    <row r="1521">
      <c r="A1521" s="9" t="n">
        <v>49</v>
      </c>
      <c r="B1521" s="9" t="n">
        <v>10</v>
      </c>
      <c r="C1521" s="9" t="n">
        <v>39</v>
      </c>
      <c r="D1521" s="9" t="n">
        <v>36</v>
      </c>
      <c r="E1521" s="10">
        <f>COMBIN(A1521,D1521)/COMBIN(A1521-B1521,D1521)</f>
        <v/>
      </c>
      <c r="F1521" s="11">
        <f>ROUNDUP(E1521*Controls!$B$4,4)</f>
        <v/>
      </c>
      <c r="G1521" s="12">
        <f>F1521/E1521</f>
        <v/>
      </c>
      <c r="H1521" s="10">
        <f>(A1521-B1521-(D1521-1))/(A1521-(D1521-1))</f>
        <v/>
      </c>
      <c r="I1521" s="9">
        <f>A1521&amp;'x'&amp;B1521</f>
        <v/>
      </c>
      <c r="J1521" s="9">
        <f>IF(AND(G1521&gt;0.9,G1521&lt;1),"OK","CHECK")</f>
        <v/>
      </c>
    </row>
    <row r="1522">
      <c r="A1522" s="9" t="n">
        <v>49</v>
      </c>
      <c r="B1522" s="9" t="n">
        <v>10</v>
      </c>
      <c r="C1522" s="9" t="n">
        <v>39</v>
      </c>
      <c r="D1522" s="9" t="n">
        <v>37</v>
      </c>
      <c r="E1522" s="10">
        <f>COMBIN(A1522,D1522)/COMBIN(A1522-B1522,D1522)</f>
        <v/>
      </c>
      <c r="F1522" s="11">
        <f>ROUNDUP(E1522*Controls!$B$4,4)</f>
        <v/>
      </c>
      <c r="G1522" s="12">
        <f>F1522/E1522</f>
        <v/>
      </c>
      <c r="H1522" s="10">
        <f>(A1522-B1522-(D1522-1))/(A1522-(D1522-1))</f>
        <v/>
      </c>
      <c r="I1522" s="9">
        <f>A1522&amp;'x'&amp;B1522</f>
        <v/>
      </c>
      <c r="J1522" s="9">
        <f>IF(AND(G1522&gt;0.9,G1522&lt;1),"OK","CHECK")</f>
        <v/>
      </c>
    </row>
    <row r="1523">
      <c r="A1523" s="9" t="n">
        <v>49</v>
      </c>
      <c r="B1523" s="9" t="n">
        <v>10</v>
      </c>
      <c r="C1523" s="9" t="n">
        <v>39</v>
      </c>
      <c r="D1523" s="9" t="n">
        <v>38</v>
      </c>
      <c r="E1523" s="10">
        <f>COMBIN(A1523,D1523)/COMBIN(A1523-B1523,D1523)</f>
        <v/>
      </c>
      <c r="F1523" s="11">
        <f>ROUNDUP(E1523*Controls!$B$4,4)</f>
        <v/>
      </c>
      <c r="G1523" s="12">
        <f>F1523/E1523</f>
        <v/>
      </c>
      <c r="H1523" s="10">
        <f>(A1523-B1523-(D1523-1))/(A1523-(D1523-1))</f>
        <v/>
      </c>
      <c r="I1523" s="9">
        <f>A1523&amp;'x'&amp;B1523</f>
        <v/>
      </c>
      <c r="J1523" s="9">
        <f>IF(AND(G1523&gt;0.9,G1523&lt;1),"OK","CHECK")</f>
        <v/>
      </c>
    </row>
    <row r="1524">
      <c r="A1524" s="9" t="n">
        <v>49</v>
      </c>
      <c r="B1524" s="9" t="n">
        <v>10</v>
      </c>
      <c r="C1524" s="9" t="n">
        <v>39</v>
      </c>
      <c r="D1524" s="9" t="n">
        <v>39</v>
      </c>
      <c r="E1524" s="10">
        <f>COMBIN(A1524,D1524)/COMBIN(A1524-B1524,D1524)</f>
        <v/>
      </c>
      <c r="F1524" s="11">
        <f>ROUNDUP(E1524*Controls!$B$4,4)</f>
        <v/>
      </c>
      <c r="G1524" s="12">
        <f>F1524/E1524</f>
        <v/>
      </c>
      <c r="H1524" s="10">
        <f>(A1524-B1524-(D1524-1))/(A1524-(D1524-1))</f>
        <v/>
      </c>
      <c r="I1524" s="9">
        <f>A1524&amp;'x'&amp;B1524</f>
        <v/>
      </c>
      <c r="J1524" s="9">
        <f>IF(AND(G1524&gt;0.9,G1524&lt;1),"OK","CHECK")</f>
        <v/>
      </c>
    </row>
    <row r="1525">
      <c r="A1525" s="9" t="n">
        <v>49</v>
      </c>
      <c r="B1525" s="9" t="n">
        <v>11</v>
      </c>
      <c r="C1525" s="9" t="n">
        <v>38</v>
      </c>
      <c r="D1525" s="9" t="n">
        <v>1</v>
      </c>
      <c r="E1525" s="10">
        <f>COMBIN(A1525,D1525)/COMBIN(A1525-B1525,D1525)</f>
        <v/>
      </c>
      <c r="F1525" s="11">
        <f>ROUNDUP(E1525*Controls!$B$4,4)</f>
        <v/>
      </c>
      <c r="G1525" s="12">
        <f>F1525/E1525</f>
        <v/>
      </c>
      <c r="H1525" s="10">
        <f>(A1525-B1525-(D1525-1))/(A1525-(D1525-1))</f>
        <v/>
      </c>
      <c r="I1525" s="9">
        <f>A1525&amp;'x'&amp;B1525</f>
        <v/>
      </c>
      <c r="J1525" s="9">
        <f>IF(AND(G1525&gt;0.9,G1525&lt;1),"OK","CHECK")</f>
        <v/>
      </c>
    </row>
    <row r="1526">
      <c r="A1526" s="9" t="n">
        <v>49</v>
      </c>
      <c r="B1526" s="9" t="n">
        <v>11</v>
      </c>
      <c r="C1526" s="9" t="n">
        <v>38</v>
      </c>
      <c r="D1526" s="9" t="n">
        <v>2</v>
      </c>
      <c r="E1526" s="10">
        <f>COMBIN(A1526,D1526)/COMBIN(A1526-B1526,D1526)</f>
        <v/>
      </c>
      <c r="F1526" s="11">
        <f>ROUNDUP(E1526*Controls!$B$4,4)</f>
        <v/>
      </c>
      <c r="G1526" s="12">
        <f>F1526/E1526</f>
        <v/>
      </c>
      <c r="H1526" s="10">
        <f>(A1526-B1526-(D1526-1))/(A1526-(D1526-1))</f>
        <v/>
      </c>
      <c r="I1526" s="9">
        <f>A1526&amp;'x'&amp;B1526</f>
        <v/>
      </c>
      <c r="J1526" s="9">
        <f>IF(AND(G1526&gt;0.9,G1526&lt;1),"OK","CHECK")</f>
        <v/>
      </c>
    </row>
    <row r="1527">
      <c r="A1527" s="9" t="n">
        <v>49</v>
      </c>
      <c r="B1527" s="9" t="n">
        <v>11</v>
      </c>
      <c r="C1527" s="9" t="n">
        <v>38</v>
      </c>
      <c r="D1527" s="9" t="n">
        <v>3</v>
      </c>
      <c r="E1527" s="10">
        <f>COMBIN(A1527,D1527)/COMBIN(A1527-B1527,D1527)</f>
        <v/>
      </c>
      <c r="F1527" s="11">
        <f>ROUNDUP(E1527*Controls!$B$4,4)</f>
        <v/>
      </c>
      <c r="G1527" s="12">
        <f>F1527/E1527</f>
        <v/>
      </c>
      <c r="H1527" s="10">
        <f>(A1527-B1527-(D1527-1))/(A1527-(D1527-1))</f>
        <v/>
      </c>
      <c r="I1527" s="9">
        <f>A1527&amp;'x'&amp;B1527</f>
        <v/>
      </c>
      <c r="J1527" s="9">
        <f>IF(AND(G1527&gt;0.9,G1527&lt;1),"OK","CHECK")</f>
        <v/>
      </c>
    </row>
    <row r="1528">
      <c r="A1528" s="9" t="n">
        <v>49</v>
      </c>
      <c r="B1528" s="9" t="n">
        <v>11</v>
      </c>
      <c r="C1528" s="9" t="n">
        <v>38</v>
      </c>
      <c r="D1528" s="9" t="n">
        <v>4</v>
      </c>
      <c r="E1528" s="10">
        <f>COMBIN(A1528,D1528)/COMBIN(A1528-B1528,D1528)</f>
        <v/>
      </c>
      <c r="F1528" s="11">
        <f>ROUNDUP(E1528*Controls!$B$4,4)</f>
        <v/>
      </c>
      <c r="G1528" s="12">
        <f>F1528/E1528</f>
        <v/>
      </c>
      <c r="H1528" s="10">
        <f>(A1528-B1528-(D1528-1))/(A1528-(D1528-1))</f>
        <v/>
      </c>
      <c r="I1528" s="9">
        <f>A1528&amp;'x'&amp;B1528</f>
        <v/>
      </c>
      <c r="J1528" s="9">
        <f>IF(AND(G1528&gt;0.9,G1528&lt;1),"OK","CHECK")</f>
        <v/>
      </c>
    </row>
    <row r="1529">
      <c r="A1529" s="9" t="n">
        <v>49</v>
      </c>
      <c r="B1529" s="9" t="n">
        <v>11</v>
      </c>
      <c r="C1529" s="9" t="n">
        <v>38</v>
      </c>
      <c r="D1529" s="9" t="n">
        <v>5</v>
      </c>
      <c r="E1529" s="10">
        <f>COMBIN(A1529,D1529)/COMBIN(A1529-B1529,D1529)</f>
        <v/>
      </c>
      <c r="F1529" s="11">
        <f>ROUNDUP(E1529*Controls!$B$4,4)</f>
        <v/>
      </c>
      <c r="G1529" s="12">
        <f>F1529/E1529</f>
        <v/>
      </c>
      <c r="H1529" s="10">
        <f>(A1529-B1529-(D1529-1))/(A1529-(D1529-1))</f>
        <v/>
      </c>
      <c r="I1529" s="9">
        <f>A1529&amp;'x'&amp;B1529</f>
        <v/>
      </c>
      <c r="J1529" s="9">
        <f>IF(AND(G1529&gt;0.9,G1529&lt;1),"OK","CHECK")</f>
        <v/>
      </c>
    </row>
    <row r="1530">
      <c r="A1530" s="9" t="n">
        <v>49</v>
      </c>
      <c r="B1530" s="9" t="n">
        <v>11</v>
      </c>
      <c r="C1530" s="9" t="n">
        <v>38</v>
      </c>
      <c r="D1530" s="9" t="n">
        <v>6</v>
      </c>
      <c r="E1530" s="10">
        <f>COMBIN(A1530,D1530)/COMBIN(A1530-B1530,D1530)</f>
        <v/>
      </c>
      <c r="F1530" s="11">
        <f>ROUNDUP(E1530*Controls!$B$4,4)</f>
        <v/>
      </c>
      <c r="G1530" s="12">
        <f>F1530/E1530</f>
        <v/>
      </c>
      <c r="H1530" s="10">
        <f>(A1530-B1530-(D1530-1))/(A1530-(D1530-1))</f>
        <v/>
      </c>
      <c r="I1530" s="9">
        <f>A1530&amp;'x'&amp;B1530</f>
        <v/>
      </c>
      <c r="J1530" s="9">
        <f>IF(AND(G1530&gt;0.9,G1530&lt;1),"OK","CHECK")</f>
        <v/>
      </c>
    </row>
    <row r="1531">
      <c r="A1531" s="9" t="n">
        <v>49</v>
      </c>
      <c r="B1531" s="9" t="n">
        <v>11</v>
      </c>
      <c r="C1531" s="9" t="n">
        <v>38</v>
      </c>
      <c r="D1531" s="9" t="n">
        <v>7</v>
      </c>
      <c r="E1531" s="10">
        <f>COMBIN(A1531,D1531)/COMBIN(A1531-B1531,D1531)</f>
        <v/>
      </c>
      <c r="F1531" s="11">
        <f>ROUNDUP(E1531*Controls!$B$4,4)</f>
        <v/>
      </c>
      <c r="G1531" s="12">
        <f>F1531/E1531</f>
        <v/>
      </c>
      <c r="H1531" s="10">
        <f>(A1531-B1531-(D1531-1))/(A1531-(D1531-1))</f>
        <v/>
      </c>
      <c r="I1531" s="9">
        <f>A1531&amp;'x'&amp;B1531</f>
        <v/>
      </c>
      <c r="J1531" s="9">
        <f>IF(AND(G1531&gt;0.9,G1531&lt;1),"OK","CHECK")</f>
        <v/>
      </c>
    </row>
    <row r="1532">
      <c r="A1532" s="9" t="n">
        <v>49</v>
      </c>
      <c r="B1532" s="9" t="n">
        <v>11</v>
      </c>
      <c r="C1532" s="9" t="n">
        <v>38</v>
      </c>
      <c r="D1532" s="9" t="n">
        <v>8</v>
      </c>
      <c r="E1532" s="10">
        <f>COMBIN(A1532,D1532)/COMBIN(A1532-B1532,D1532)</f>
        <v/>
      </c>
      <c r="F1532" s="11">
        <f>ROUNDUP(E1532*Controls!$B$4,4)</f>
        <v/>
      </c>
      <c r="G1532" s="12">
        <f>F1532/E1532</f>
        <v/>
      </c>
      <c r="H1532" s="10">
        <f>(A1532-B1532-(D1532-1))/(A1532-(D1532-1))</f>
        <v/>
      </c>
      <c r="I1532" s="9">
        <f>A1532&amp;'x'&amp;B1532</f>
        <v/>
      </c>
      <c r="J1532" s="9">
        <f>IF(AND(G1532&gt;0.9,G1532&lt;1),"OK","CHECK")</f>
        <v/>
      </c>
    </row>
    <row r="1533">
      <c r="A1533" s="9" t="n">
        <v>49</v>
      </c>
      <c r="B1533" s="9" t="n">
        <v>11</v>
      </c>
      <c r="C1533" s="9" t="n">
        <v>38</v>
      </c>
      <c r="D1533" s="9" t="n">
        <v>9</v>
      </c>
      <c r="E1533" s="10">
        <f>COMBIN(A1533,D1533)/COMBIN(A1533-B1533,D1533)</f>
        <v/>
      </c>
      <c r="F1533" s="11">
        <f>ROUNDUP(E1533*Controls!$B$4,4)</f>
        <v/>
      </c>
      <c r="G1533" s="12">
        <f>F1533/E1533</f>
        <v/>
      </c>
      <c r="H1533" s="10">
        <f>(A1533-B1533-(D1533-1))/(A1533-(D1533-1))</f>
        <v/>
      </c>
      <c r="I1533" s="9">
        <f>A1533&amp;'x'&amp;B1533</f>
        <v/>
      </c>
      <c r="J1533" s="9">
        <f>IF(AND(G1533&gt;0.9,G1533&lt;1),"OK","CHECK")</f>
        <v/>
      </c>
    </row>
    <row r="1534">
      <c r="A1534" s="9" t="n">
        <v>49</v>
      </c>
      <c r="B1534" s="9" t="n">
        <v>11</v>
      </c>
      <c r="C1534" s="9" t="n">
        <v>38</v>
      </c>
      <c r="D1534" s="9" t="n">
        <v>10</v>
      </c>
      <c r="E1534" s="10">
        <f>COMBIN(A1534,D1534)/COMBIN(A1534-B1534,D1534)</f>
        <v/>
      </c>
      <c r="F1534" s="11">
        <f>ROUNDUP(E1534*Controls!$B$4,4)</f>
        <v/>
      </c>
      <c r="G1534" s="12">
        <f>F1534/E1534</f>
        <v/>
      </c>
      <c r="H1534" s="10">
        <f>(A1534-B1534-(D1534-1))/(A1534-(D1534-1))</f>
        <v/>
      </c>
      <c r="I1534" s="9">
        <f>A1534&amp;'x'&amp;B1534</f>
        <v/>
      </c>
      <c r="J1534" s="9">
        <f>IF(AND(G1534&gt;0.9,G1534&lt;1),"OK","CHECK")</f>
        <v/>
      </c>
    </row>
    <row r="1535">
      <c r="A1535" s="9" t="n">
        <v>49</v>
      </c>
      <c r="B1535" s="9" t="n">
        <v>11</v>
      </c>
      <c r="C1535" s="9" t="n">
        <v>38</v>
      </c>
      <c r="D1535" s="9" t="n">
        <v>11</v>
      </c>
      <c r="E1535" s="10">
        <f>COMBIN(A1535,D1535)/COMBIN(A1535-B1535,D1535)</f>
        <v/>
      </c>
      <c r="F1535" s="11">
        <f>ROUNDUP(E1535*Controls!$B$4,4)</f>
        <v/>
      </c>
      <c r="G1535" s="12">
        <f>F1535/E1535</f>
        <v/>
      </c>
      <c r="H1535" s="10">
        <f>(A1535-B1535-(D1535-1))/(A1535-(D1535-1))</f>
        <v/>
      </c>
      <c r="I1535" s="9">
        <f>A1535&amp;'x'&amp;B1535</f>
        <v/>
      </c>
      <c r="J1535" s="9">
        <f>IF(AND(G1535&gt;0.9,G1535&lt;1),"OK","CHECK")</f>
        <v/>
      </c>
    </row>
    <row r="1536">
      <c r="A1536" s="9" t="n">
        <v>49</v>
      </c>
      <c r="B1536" s="9" t="n">
        <v>11</v>
      </c>
      <c r="C1536" s="9" t="n">
        <v>38</v>
      </c>
      <c r="D1536" s="9" t="n">
        <v>12</v>
      </c>
      <c r="E1536" s="10">
        <f>COMBIN(A1536,D1536)/COMBIN(A1536-B1536,D1536)</f>
        <v/>
      </c>
      <c r="F1536" s="11">
        <f>ROUNDUP(E1536*Controls!$B$4,4)</f>
        <v/>
      </c>
      <c r="G1536" s="12">
        <f>F1536/E1536</f>
        <v/>
      </c>
      <c r="H1536" s="10">
        <f>(A1536-B1536-(D1536-1))/(A1536-(D1536-1))</f>
        <v/>
      </c>
      <c r="I1536" s="9">
        <f>A1536&amp;'x'&amp;B1536</f>
        <v/>
      </c>
      <c r="J1536" s="9">
        <f>IF(AND(G1536&gt;0.9,G1536&lt;1),"OK","CHECK")</f>
        <v/>
      </c>
    </row>
    <row r="1537">
      <c r="A1537" s="9" t="n">
        <v>49</v>
      </c>
      <c r="B1537" s="9" t="n">
        <v>11</v>
      </c>
      <c r="C1537" s="9" t="n">
        <v>38</v>
      </c>
      <c r="D1537" s="9" t="n">
        <v>13</v>
      </c>
      <c r="E1537" s="10">
        <f>COMBIN(A1537,D1537)/COMBIN(A1537-B1537,D1537)</f>
        <v/>
      </c>
      <c r="F1537" s="11">
        <f>ROUNDUP(E1537*Controls!$B$4,4)</f>
        <v/>
      </c>
      <c r="G1537" s="12">
        <f>F1537/E1537</f>
        <v/>
      </c>
      <c r="H1537" s="10">
        <f>(A1537-B1537-(D1537-1))/(A1537-(D1537-1))</f>
        <v/>
      </c>
      <c r="I1537" s="9">
        <f>A1537&amp;'x'&amp;B1537</f>
        <v/>
      </c>
      <c r="J1537" s="9">
        <f>IF(AND(G1537&gt;0.9,G1537&lt;1),"OK","CHECK")</f>
        <v/>
      </c>
    </row>
    <row r="1538">
      <c r="A1538" s="9" t="n">
        <v>49</v>
      </c>
      <c r="B1538" s="9" t="n">
        <v>11</v>
      </c>
      <c r="C1538" s="9" t="n">
        <v>38</v>
      </c>
      <c r="D1538" s="9" t="n">
        <v>14</v>
      </c>
      <c r="E1538" s="10">
        <f>COMBIN(A1538,D1538)/COMBIN(A1538-B1538,D1538)</f>
        <v/>
      </c>
      <c r="F1538" s="11">
        <f>ROUNDUP(E1538*Controls!$B$4,4)</f>
        <v/>
      </c>
      <c r="G1538" s="12">
        <f>F1538/E1538</f>
        <v/>
      </c>
      <c r="H1538" s="10">
        <f>(A1538-B1538-(D1538-1))/(A1538-(D1538-1))</f>
        <v/>
      </c>
      <c r="I1538" s="9">
        <f>A1538&amp;'x'&amp;B1538</f>
        <v/>
      </c>
      <c r="J1538" s="9">
        <f>IF(AND(G1538&gt;0.9,G1538&lt;1),"OK","CHECK")</f>
        <v/>
      </c>
    </row>
    <row r="1539">
      <c r="A1539" s="9" t="n">
        <v>49</v>
      </c>
      <c r="B1539" s="9" t="n">
        <v>11</v>
      </c>
      <c r="C1539" s="9" t="n">
        <v>38</v>
      </c>
      <c r="D1539" s="9" t="n">
        <v>15</v>
      </c>
      <c r="E1539" s="10">
        <f>COMBIN(A1539,D1539)/COMBIN(A1539-B1539,D1539)</f>
        <v/>
      </c>
      <c r="F1539" s="11">
        <f>ROUNDUP(E1539*Controls!$B$4,4)</f>
        <v/>
      </c>
      <c r="G1539" s="12">
        <f>F1539/E1539</f>
        <v/>
      </c>
      <c r="H1539" s="10">
        <f>(A1539-B1539-(D1539-1))/(A1539-(D1539-1))</f>
        <v/>
      </c>
      <c r="I1539" s="9">
        <f>A1539&amp;'x'&amp;B1539</f>
        <v/>
      </c>
      <c r="J1539" s="9">
        <f>IF(AND(G1539&gt;0.9,G1539&lt;1),"OK","CHECK")</f>
        <v/>
      </c>
    </row>
    <row r="1540">
      <c r="A1540" s="9" t="n">
        <v>49</v>
      </c>
      <c r="B1540" s="9" t="n">
        <v>11</v>
      </c>
      <c r="C1540" s="9" t="n">
        <v>38</v>
      </c>
      <c r="D1540" s="9" t="n">
        <v>16</v>
      </c>
      <c r="E1540" s="10">
        <f>COMBIN(A1540,D1540)/COMBIN(A1540-B1540,D1540)</f>
        <v/>
      </c>
      <c r="F1540" s="11">
        <f>ROUNDUP(E1540*Controls!$B$4,4)</f>
        <v/>
      </c>
      <c r="G1540" s="12">
        <f>F1540/E1540</f>
        <v/>
      </c>
      <c r="H1540" s="10">
        <f>(A1540-B1540-(D1540-1))/(A1540-(D1540-1))</f>
        <v/>
      </c>
      <c r="I1540" s="9">
        <f>A1540&amp;'x'&amp;B1540</f>
        <v/>
      </c>
      <c r="J1540" s="9">
        <f>IF(AND(G1540&gt;0.9,G1540&lt;1),"OK","CHECK")</f>
        <v/>
      </c>
    </row>
    <row r="1541">
      <c r="A1541" s="9" t="n">
        <v>49</v>
      </c>
      <c r="B1541" s="9" t="n">
        <v>11</v>
      </c>
      <c r="C1541" s="9" t="n">
        <v>38</v>
      </c>
      <c r="D1541" s="9" t="n">
        <v>17</v>
      </c>
      <c r="E1541" s="10">
        <f>COMBIN(A1541,D1541)/COMBIN(A1541-B1541,D1541)</f>
        <v/>
      </c>
      <c r="F1541" s="11">
        <f>ROUNDUP(E1541*Controls!$B$4,4)</f>
        <v/>
      </c>
      <c r="G1541" s="12">
        <f>F1541/E1541</f>
        <v/>
      </c>
      <c r="H1541" s="10">
        <f>(A1541-B1541-(D1541-1))/(A1541-(D1541-1))</f>
        <v/>
      </c>
      <c r="I1541" s="9">
        <f>A1541&amp;'x'&amp;B1541</f>
        <v/>
      </c>
      <c r="J1541" s="9">
        <f>IF(AND(G1541&gt;0.9,G1541&lt;1),"OK","CHECK")</f>
        <v/>
      </c>
    </row>
    <row r="1542">
      <c r="A1542" s="9" t="n">
        <v>49</v>
      </c>
      <c r="B1542" s="9" t="n">
        <v>11</v>
      </c>
      <c r="C1542" s="9" t="n">
        <v>38</v>
      </c>
      <c r="D1542" s="9" t="n">
        <v>18</v>
      </c>
      <c r="E1542" s="10">
        <f>COMBIN(A1542,D1542)/COMBIN(A1542-B1542,D1542)</f>
        <v/>
      </c>
      <c r="F1542" s="11">
        <f>ROUNDUP(E1542*Controls!$B$4,4)</f>
        <v/>
      </c>
      <c r="G1542" s="12">
        <f>F1542/E1542</f>
        <v/>
      </c>
      <c r="H1542" s="10">
        <f>(A1542-B1542-(D1542-1))/(A1542-(D1542-1))</f>
        <v/>
      </c>
      <c r="I1542" s="9">
        <f>A1542&amp;'x'&amp;B1542</f>
        <v/>
      </c>
      <c r="J1542" s="9">
        <f>IF(AND(G1542&gt;0.9,G1542&lt;1),"OK","CHECK")</f>
        <v/>
      </c>
    </row>
    <row r="1543">
      <c r="A1543" s="9" t="n">
        <v>49</v>
      </c>
      <c r="B1543" s="9" t="n">
        <v>11</v>
      </c>
      <c r="C1543" s="9" t="n">
        <v>38</v>
      </c>
      <c r="D1543" s="9" t="n">
        <v>19</v>
      </c>
      <c r="E1543" s="10">
        <f>COMBIN(A1543,D1543)/COMBIN(A1543-B1543,D1543)</f>
        <v/>
      </c>
      <c r="F1543" s="11">
        <f>ROUNDUP(E1543*Controls!$B$4,4)</f>
        <v/>
      </c>
      <c r="G1543" s="12">
        <f>F1543/E1543</f>
        <v/>
      </c>
      <c r="H1543" s="10">
        <f>(A1543-B1543-(D1543-1))/(A1543-(D1543-1))</f>
        <v/>
      </c>
      <c r="I1543" s="9">
        <f>A1543&amp;'x'&amp;B1543</f>
        <v/>
      </c>
      <c r="J1543" s="9">
        <f>IF(AND(G1543&gt;0.9,G1543&lt;1),"OK","CHECK")</f>
        <v/>
      </c>
    </row>
    <row r="1544">
      <c r="A1544" s="9" t="n">
        <v>49</v>
      </c>
      <c r="B1544" s="9" t="n">
        <v>11</v>
      </c>
      <c r="C1544" s="9" t="n">
        <v>38</v>
      </c>
      <c r="D1544" s="9" t="n">
        <v>20</v>
      </c>
      <c r="E1544" s="10">
        <f>COMBIN(A1544,D1544)/COMBIN(A1544-B1544,D1544)</f>
        <v/>
      </c>
      <c r="F1544" s="11">
        <f>ROUNDUP(E1544*Controls!$B$4,4)</f>
        <v/>
      </c>
      <c r="G1544" s="12">
        <f>F1544/E1544</f>
        <v/>
      </c>
      <c r="H1544" s="10">
        <f>(A1544-B1544-(D1544-1))/(A1544-(D1544-1))</f>
        <v/>
      </c>
      <c r="I1544" s="9">
        <f>A1544&amp;'x'&amp;B1544</f>
        <v/>
      </c>
      <c r="J1544" s="9">
        <f>IF(AND(G1544&gt;0.9,G1544&lt;1),"OK","CHECK")</f>
        <v/>
      </c>
    </row>
    <row r="1545">
      <c r="A1545" s="9" t="n">
        <v>49</v>
      </c>
      <c r="B1545" s="9" t="n">
        <v>11</v>
      </c>
      <c r="C1545" s="9" t="n">
        <v>38</v>
      </c>
      <c r="D1545" s="9" t="n">
        <v>21</v>
      </c>
      <c r="E1545" s="10">
        <f>COMBIN(A1545,D1545)/COMBIN(A1545-B1545,D1545)</f>
        <v/>
      </c>
      <c r="F1545" s="11">
        <f>ROUNDUP(E1545*Controls!$B$4,4)</f>
        <v/>
      </c>
      <c r="G1545" s="12">
        <f>F1545/E1545</f>
        <v/>
      </c>
      <c r="H1545" s="10">
        <f>(A1545-B1545-(D1545-1))/(A1545-(D1545-1))</f>
        <v/>
      </c>
      <c r="I1545" s="9">
        <f>A1545&amp;'x'&amp;B1545</f>
        <v/>
      </c>
      <c r="J1545" s="9">
        <f>IF(AND(G1545&gt;0.9,G1545&lt;1),"OK","CHECK")</f>
        <v/>
      </c>
    </row>
    <row r="1546">
      <c r="A1546" s="9" t="n">
        <v>49</v>
      </c>
      <c r="B1546" s="9" t="n">
        <v>11</v>
      </c>
      <c r="C1546" s="9" t="n">
        <v>38</v>
      </c>
      <c r="D1546" s="9" t="n">
        <v>22</v>
      </c>
      <c r="E1546" s="10">
        <f>COMBIN(A1546,D1546)/COMBIN(A1546-B1546,D1546)</f>
        <v/>
      </c>
      <c r="F1546" s="11">
        <f>ROUNDUP(E1546*Controls!$B$4,4)</f>
        <v/>
      </c>
      <c r="G1546" s="12">
        <f>F1546/E1546</f>
        <v/>
      </c>
      <c r="H1546" s="10">
        <f>(A1546-B1546-(D1546-1))/(A1546-(D1546-1))</f>
        <v/>
      </c>
      <c r="I1546" s="9">
        <f>A1546&amp;'x'&amp;B1546</f>
        <v/>
      </c>
      <c r="J1546" s="9">
        <f>IF(AND(G1546&gt;0.9,G1546&lt;1),"OK","CHECK")</f>
        <v/>
      </c>
    </row>
    <row r="1547">
      <c r="A1547" s="9" t="n">
        <v>49</v>
      </c>
      <c r="B1547" s="9" t="n">
        <v>11</v>
      </c>
      <c r="C1547" s="9" t="n">
        <v>38</v>
      </c>
      <c r="D1547" s="9" t="n">
        <v>23</v>
      </c>
      <c r="E1547" s="10">
        <f>COMBIN(A1547,D1547)/COMBIN(A1547-B1547,D1547)</f>
        <v/>
      </c>
      <c r="F1547" s="11">
        <f>ROUNDUP(E1547*Controls!$B$4,4)</f>
        <v/>
      </c>
      <c r="G1547" s="12">
        <f>F1547/E1547</f>
        <v/>
      </c>
      <c r="H1547" s="10">
        <f>(A1547-B1547-(D1547-1))/(A1547-(D1547-1))</f>
        <v/>
      </c>
      <c r="I1547" s="9">
        <f>A1547&amp;'x'&amp;B1547</f>
        <v/>
      </c>
      <c r="J1547" s="9">
        <f>IF(AND(G1547&gt;0.9,G1547&lt;1),"OK","CHECK")</f>
        <v/>
      </c>
    </row>
    <row r="1548">
      <c r="A1548" s="9" t="n">
        <v>49</v>
      </c>
      <c r="B1548" s="9" t="n">
        <v>11</v>
      </c>
      <c r="C1548" s="9" t="n">
        <v>38</v>
      </c>
      <c r="D1548" s="9" t="n">
        <v>24</v>
      </c>
      <c r="E1548" s="10">
        <f>COMBIN(A1548,D1548)/COMBIN(A1548-B1548,D1548)</f>
        <v/>
      </c>
      <c r="F1548" s="11">
        <f>ROUNDUP(E1548*Controls!$B$4,4)</f>
        <v/>
      </c>
      <c r="G1548" s="12">
        <f>F1548/E1548</f>
        <v/>
      </c>
      <c r="H1548" s="10">
        <f>(A1548-B1548-(D1548-1))/(A1548-(D1548-1))</f>
        <v/>
      </c>
      <c r="I1548" s="9">
        <f>A1548&amp;'x'&amp;B1548</f>
        <v/>
      </c>
      <c r="J1548" s="9">
        <f>IF(AND(G1548&gt;0.9,G1548&lt;1),"OK","CHECK")</f>
        <v/>
      </c>
    </row>
    <row r="1549">
      <c r="A1549" s="9" t="n">
        <v>49</v>
      </c>
      <c r="B1549" s="9" t="n">
        <v>11</v>
      </c>
      <c r="C1549" s="9" t="n">
        <v>38</v>
      </c>
      <c r="D1549" s="9" t="n">
        <v>25</v>
      </c>
      <c r="E1549" s="10">
        <f>COMBIN(A1549,D1549)/COMBIN(A1549-B1549,D1549)</f>
        <v/>
      </c>
      <c r="F1549" s="11">
        <f>ROUNDUP(E1549*Controls!$B$4,4)</f>
        <v/>
      </c>
      <c r="G1549" s="12">
        <f>F1549/E1549</f>
        <v/>
      </c>
      <c r="H1549" s="10">
        <f>(A1549-B1549-(D1549-1))/(A1549-(D1549-1))</f>
        <v/>
      </c>
      <c r="I1549" s="9">
        <f>A1549&amp;'x'&amp;B1549</f>
        <v/>
      </c>
      <c r="J1549" s="9">
        <f>IF(AND(G1549&gt;0.9,G1549&lt;1),"OK","CHECK")</f>
        <v/>
      </c>
    </row>
    <row r="1550">
      <c r="A1550" s="9" t="n">
        <v>49</v>
      </c>
      <c r="B1550" s="9" t="n">
        <v>11</v>
      </c>
      <c r="C1550" s="9" t="n">
        <v>38</v>
      </c>
      <c r="D1550" s="9" t="n">
        <v>26</v>
      </c>
      <c r="E1550" s="10">
        <f>COMBIN(A1550,D1550)/COMBIN(A1550-B1550,D1550)</f>
        <v/>
      </c>
      <c r="F1550" s="11">
        <f>ROUNDUP(E1550*Controls!$B$4,4)</f>
        <v/>
      </c>
      <c r="G1550" s="12">
        <f>F1550/E1550</f>
        <v/>
      </c>
      <c r="H1550" s="10">
        <f>(A1550-B1550-(D1550-1))/(A1550-(D1550-1))</f>
        <v/>
      </c>
      <c r="I1550" s="9">
        <f>A1550&amp;'x'&amp;B1550</f>
        <v/>
      </c>
      <c r="J1550" s="9">
        <f>IF(AND(G1550&gt;0.9,G1550&lt;1),"OK","CHECK")</f>
        <v/>
      </c>
    </row>
    <row r="1551">
      <c r="A1551" s="9" t="n">
        <v>49</v>
      </c>
      <c r="B1551" s="9" t="n">
        <v>11</v>
      </c>
      <c r="C1551" s="9" t="n">
        <v>38</v>
      </c>
      <c r="D1551" s="9" t="n">
        <v>27</v>
      </c>
      <c r="E1551" s="10">
        <f>COMBIN(A1551,D1551)/COMBIN(A1551-B1551,D1551)</f>
        <v/>
      </c>
      <c r="F1551" s="11">
        <f>ROUNDUP(E1551*Controls!$B$4,4)</f>
        <v/>
      </c>
      <c r="G1551" s="12">
        <f>F1551/E1551</f>
        <v/>
      </c>
      <c r="H1551" s="10">
        <f>(A1551-B1551-(D1551-1))/(A1551-(D1551-1))</f>
        <v/>
      </c>
      <c r="I1551" s="9">
        <f>A1551&amp;'x'&amp;B1551</f>
        <v/>
      </c>
      <c r="J1551" s="9">
        <f>IF(AND(G1551&gt;0.9,G1551&lt;1),"OK","CHECK")</f>
        <v/>
      </c>
    </row>
    <row r="1552">
      <c r="A1552" s="9" t="n">
        <v>49</v>
      </c>
      <c r="B1552" s="9" t="n">
        <v>11</v>
      </c>
      <c r="C1552" s="9" t="n">
        <v>38</v>
      </c>
      <c r="D1552" s="9" t="n">
        <v>28</v>
      </c>
      <c r="E1552" s="10">
        <f>COMBIN(A1552,D1552)/COMBIN(A1552-B1552,D1552)</f>
        <v/>
      </c>
      <c r="F1552" s="11">
        <f>ROUNDUP(E1552*Controls!$B$4,4)</f>
        <v/>
      </c>
      <c r="G1552" s="12">
        <f>F1552/E1552</f>
        <v/>
      </c>
      <c r="H1552" s="10">
        <f>(A1552-B1552-(D1552-1))/(A1552-(D1552-1))</f>
        <v/>
      </c>
      <c r="I1552" s="9">
        <f>A1552&amp;'x'&amp;B1552</f>
        <v/>
      </c>
      <c r="J1552" s="9">
        <f>IF(AND(G1552&gt;0.9,G1552&lt;1),"OK","CHECK")</f>
        <v/>
      </c>
    </row>
    <row r="1553">
      <c r="A1553" s="9" t="n">
        <v>49</v>
      </c>
      <c r="B1553" s="9" t="n">
        <v>11</v>
      </c>
      <c r="C1553" s="9" t="n">
        <v>38</v>
      </c>
      <c r="D1553" s="9" t="n">
        <v>29</v>
      </c>
      <c r="E1553" s="10">
        <f>COMBIN(A1553,D1553)/COMBIN(A1553-B1553,D1553)</f>
        <v/>
      </c>
      <c r="F1553" s="11">
        <f>ROUNDUP(E1553*Controls!$B$4,4)</f>
        <v/>
      </c>
      <c r="G1553" s="12">
        <f>F1553/E1553</f>
        <v/>
      </c>
      <c r="H1553" s="10">
        <f>(A1553-B1553-(D1553-1))/(A1553-(D1553-1))</f>
        <v/>
      </c>
      <c r="I1553" s="9">
        <f>A1553&amp;'x'&amp;B1553</f>
        <v/>
      </c>
      <c r="J1553" s="9">
        <f>IF(AND(G1553&gt;0.9,G1553&lt;1),"OK","CHECK")</f>
        <v/>
      </c>
    </row>
    <row r="1554">
      <c r="A1554" s="9" t="n">
        <v>49</v>
      </c>
      <c r="B1554" s="9" t="n">
        <v>11</v>
      </c>
      <c r="C1554" s="9" t="n">
        <v>38</v>
      </c>
      <c r="D1554" s="9" t="n">
        <v>30</v>
      </c>
      <c r="E1554" s="10">
        <f>COMBIN(A1554,D1554)/COMBIN(A1554-B1554,D1554)</f>
        <v/>
      </c>
      <c r="F1554" s="11">
        <f>ROUNDUP(E1554*Controls!$B$4,4)</f>
        <v/>
      </c>
      <c r="G1554" s="12">
        <f>F1554/E1554</f>
        <v/>
      </c>
      <c r="H1554" s="10">
        <f>(A1554-B1554-(D1554-1))/(A1554-(D1554-1))</f>
        <v/>
      </c>
      <c r="I1554" s="9">
        <f>A1554&amp;'x'&amp;B1554</f>
        <v/>
      </c>
      <c r="J1554" s="9">
        <f>IF(AND(G1554&gt;0.9,G1554&lt;1),"OK","CHECK")</f>
        <v/>
      </c>
    </row>
    <row r="1555">
      <c r="A1555" s="9" t="n">
        <v>49</v>
      </c>
      <c r="B1555" s="9" t="n">
        <v>11</v>
      </c>
      <c r="C1555" s="9" t="n">
        <v>38</v>
      </c>
      <c r="D1555" s="9" t="n">
        <v>31</v>
      </c>
      <c r="E1555" s="10">
        <f>COMBIN(A1555,D1555)/COMBIN(A1555-B1555,D1555)</f>
        <v/>
      </c>
      <c r="F1555" s="11">
        <f>ROUNDUP(E1555*Controls!$B$4,4)</f>
        <v/>
      </c>
      <c r="G1555" s="12">
        <f>F1555/E1555</f>
        <v/>
      </c>
      <c r="H1555" s="10">
        <f>(A1555-B1555-(D1555-1))/(A1555-(D1555-1))</f>
        <v/>
      </c>
      <c r="I1555" s="9">
        <f>A1555&amp;'x'&amp;B1555</f>
        <v/>
      </c>
      <c r="J1555" s="9">
        <f>IF(AND(G1555&gt;0.9,G1555&lt;1),"OK","CHECK")</f>
        <v/>
      </c>
    </row>
    <row r="1556">
      <c r="A1556" s="9" t="n">
        <v>49</v>
      </c>
      <c r="B1556" s="9" t="n">
        <v>11</v>
      </c>
      <c r="C1556" s="9" t="n">
        <v>38</v>
      </c>
      <c r="D1556" s="9" t="n">
        <v>32</v>
      </c>
      <c r="E1556" s="10">
        <f>COMBIN(A1556,D1556)/COMBIN(A1556-B1556,D1556)</f>
        <v/>
      </c>
      <c r="F1556" s="11">
        <f>ROUNDUP(E1556*Controls!$B$4,4)</f>
        <v/>
      </c>
      <c r="G1556" s="12">
        <f>F1556/E1556</f>
        <v/>
      </c>
      <c r="H1556" s="10">
        <f>(A1556-B1556-(D1556-1))/(A1556-(D1556-1))</f>
        <v/>
      </c>
      <c r="I1556" s="9">
        <f>A1556&amp;'x'&amp;B1556</f>
        <v/>
      </c>
      <c r="J1556" s="9">
        <f>IF(AND(G1556&gt;0.9,G1556&lt;1),"OK","CHECK")</f>
        <v/>
      </c>
    </row>
    <row r="1557">
      <c r="A1557" s="9" t="n">
        <v>49</v>
      </c>
      <c r="B1557" s="9" t="n">
        <v>11</v>
      </c>
      <c r="C1557" s="9" t="n">
        <v>38</v>
      </c>
      <c r="D1557" s="9" t="n">
        <v>33</v>
      </c>
      <c r="E1557" s="10">
        <f>COMBIN(A1557,D1557)/COMBIN(A1557-B1557,D1557)</f>
        <v/>
      </c>
      <c r="F1557" s="11">
        <f>ROUNDUP(E1557*Controls!$B$4,4)</f>
        <v/>
      </c>
      <c r="G1557" s="12">
        <f>F1557/E1557</f>
        <v/>
      </c>
      <c r="H1557" s="10">
        <f>(A1557-B1557-(D1557-1))/(A1557-(D1557-1))</f>
        <v/>
      </c>
      <c r="I1557" s="9">
        <f>A1557&amp;'x'&amp;B1557</f>
        <v/>
      </c>
      <c r="J1557" s="9">
        <f>IF(AND(G1557&gt;0.9,G1557&lt;1),"OK","CHECK")</f>
        <v/>
      </c>
    </row>
    <row r="1558">
      <c r="A1558" s="9" t="n">
        <v>49</v>
      </c>
      <c r="B1558" s="9" t="n">
        <v>11</v>
      </c>
      <c r="C1558" s="9" t="n">
        <v>38</v>
      </c>
      <c r="D1558" s="9" t="n">
        <v>34</v>
      </c>
      <c r="E1558" s="10">
        <f>COMBIN(A1558,D1558)/COMBIN(A1558-B1558,D1558)</f>
        <v/>
      </c>
      <c r="F1558" s="11">
        <f>ROUNDUP(E1558*Controls!$B$4,4)</f>
        <v/>
      </c>
      <c r="G1558" s="12">
        <f>F1558/E1558</f>
        <v/>
      </c>
      <c r="H1558" s="10">
        <f>(A1558-B1558-(D1558-1))/(A1558-(D1558-1))</f>
        <v/>
      </c>
      <c r="I1558" s="9">
        <f>A1558&amp;'x'&amp;B1558</f>
        <v/>
      </c>
      <c r="J1558" s="9">
        <f>IF(AND(G1558&gt;0.9,G1558&lt;1),"OK","CHECK")</f>
        <v/>
      </c>
    </row>
    <row r="1559">
      <c r="A1559" s="9" t="n">
        <v>49</v>
      </c>
      <c r="B1559" s="9" t="n">
        <v>11</v>
      </c>
      <c r="C1559" s="9" t="n">
        <v>38</v>
      </c>
      <c r="D1559" s="9" t="n">
        <v>35</v>
      </c>
      <c r="E1559" s="10">
        <f>COMBIN(A1559,D1559)/COMBIN(A1559-B1559,D1559)</f>
        <v/>
      </c>
      <c r="F1559" s="11">
        <f>ROUNDUP(E1559*Controls!$B$4,4)</f>
        <v/>
      </c>
      <c r="G1559" s="12">
        <f>F1559/E1559</f>
        <v/>
      </c>
      <c r="H1559" s="10">
        <f>(A1559-B1559-(D1559-1))/(A1559-(D1559-1))</f>
        <v/>
      </c>
      <c r="I1559" s="9">
        <f>A1559&amp;'x'&amp;B1559</f>
        <v/>
      </c>
      <c r="J1559" s="9">
        <f>IF(AND(G1559&gt;0.9,G1559&lt;1),"OK","CHECK")</f>
        <v/>
      </c>
    </row>
    <row r="1560">
      <c r="A1560" s="9" t="n">
        <v>49</v>
      </c>
      <c r="B1560" s="9" t="n">
        <v>11</v>
      </c>
      <c r="C1560" s="9" t="n">
        <v>38</v>
      </c>
      <c r="D1560" s="9" t="n">
        <v>36</v>
      </c>
      <c r="E1560" s="10">
        <f>COMBIN(A1560,D1560)/COMBIN(A1560-B1560,D1560)</f>
        <v/>
      </c>
      <c r="F1560" s="11">
        <f>ROUNDUP(E1560*Controls!$B$4,4)</f>
        <v/>
      </c>
      <c r="G1560" s="12">
        <f>F1560/E1560</f>
        <v/>
      </c>
      <c r="H1560" s="10">
        <f>(A1560-B1560-(D1560-1))/(A1560-(D1560-1))</f>
        <v/>
      </c>
      <c r="I1560" s="9">
        <f>A1560&amp;'x'&amp;B1560</f>
        <v/>
      </c>
      <c r="J1560" s="9">
        <f>IF(AND(G1560&gt;0.9,G1560&lt;1),"OK","CHECK")</f>
        <v/>
      </c>
    </row>
    <row r="1561">
      <c r="A1561" s="9" t="n">
        <v>49</v>
      </c>
      <c r="B1561" s="9" t="n">
        <v>11</v>
      </c>
      <c r="C1561" s="9" t="n">
        <v>38</v>
      </c>
      <c r="D1561" s="9" t="n">
        <v>37</v>
      </c>
      <c r="E1561" s="10">
        <f>COMBIN(A1561,D1561)/COMBIN(A1561-B1561,D1561)</f>
        <v/>
      </c>
      <c r="F1561" s="11">
        <f>ROUNDUP(E1561*Controls!$B$4,4)</f>
        <v/>
      </c>
      <c r="G1561" s="12">
        <f>F1561/E1561</f>
        <v/>
      </c>
      <c r="H1561" s="10">
        <f>(A1561-B1561-(D1561-1))/(A1561-(D1561-1))</f>
        <v/>
      </c>
      <c r="I1561" s="9">
        <f>A1561&amp;'x'&amp;B1561</f>
        <v/>
      </c>
      <c r="J1561" s="9">
        <f>IF(AND(G1561&gt;0.9,G1561&lt;1),"OK","CHECK")</f>
        <v/>
      </c>
    </row>
    <row r="1562">
      <c r="A1562" s="9" t="n">
        <v>49</v>
      </c>
      <c r="B1562" s="9" t="n">
        <v>11</v>
      </c>
      <c r="C1562" s="9" t="n">
        <v>38</v>
      </c>
      <c r="D1562" s="9" t="n">
        <v>38</v>
      </c>
      <c r="E1562" s="10">
        <f>COMBIN(A1562,D1562)/COMBIN(A1562-B1562,D1562)</f>
        <v/>
      </c>
      <c r="F1562" s="11">
        <f>ROUNDUP(E1562*Controls!$B$4,4)</f>
        <v/>
      </c>
      <c r="G1562" s="12">
        <f>F1562/E1562</f>
        <v/>
      </c>
      <c r="H1562" s="10">
        <f>(A1562-B1562-(D1562-1))/(A1562-(D1562-1))</f>
        <v/>
      </c>
      <c r="I1562" s="9">
        <f>A1562&amp;'x'&amp;B1562</f>
        <v/>
      </c>
      <c r="J1562" s="9">
        <f>IF(AND(G1562&gt;0.9,G1562&lt;1),"OK","CHECK")</f>
        <v/>
      </c>
    </row>
    <row r="1563">
      <c r="A1563" s="9" t="n">
        <v>49</v>
      </c>
      <c r="B1563" s="9" t="n">
        <v>12</v>
      </c>
      <c r="C1563" s="9" t="n">
        <v>37</v>
      </c>
      <c r="D1563" s="9" t="n">
        <v>1</v>
      </c>
      <c r="E1563" s="10">
        <f>COMBIN(A1563,D1563)/COMBIN(A1563-B1563,D1563)</f>
        <v/>
      </c>
      <c r="F1563" s="11">
        <f>ROUNDUP(E1563*Controls!$B$4,4)</f>
        <v/>
      </c>
      <c r="G1563" s="12">
        <f>F1563/E1563</f>
        <v/>
      </c>
      <c r="H1563" s="10">
        <f>(A1563-B1563-(D1563-1))/(A1563-(D1563-1))</f>
        <v/>
      </c>
      <c r="I1563" s="9">
        <f>A1563&amp;'x'&amp;B1563</f>
        <v/>
      </c>
      <c r="J1563" s="9">
        <f>IF(AND(G1563&gt;0.9,G1563&lt;1),"OK","CHECK")</f>
        <v/>
      </c>
    </row>
    <row r="1564">
      <c r="A1564" s="9" t="n">
        <v>49</v>
      </c>
      <c r="B1564" s="9" t="n">
        <v>12</v>
      </c>
      <c r="C1564" s="9" t="n">
        <v>37</v>
      </c>
      <c r="D1564" s="9" t="n">
        <v>2</v>
      </c>
      <c r="E1564" s="10">
        <f>COMBIN(A1564,D1564)/COMBIN(A1564-B1564,D1564)</f>
        <v/>
      </c>
      <c r="F1564" s="11">
        <f>ROUNDUP(E1564*Controls!$B$4,4)</f>
        <v/>
      </c>
      <c r="G1564" s="12">
        <f>F1564/E1564</f>
        <v/>
      </c>
      <c r="H1564" s="10">
        <f>(A1564-B1564-(D1564-1))/(A1564-(D1564-1))</f>
        <v/>
      </c>
      <c r="I1564" s="9">
        <f>A1564&amp;'x'&amp;B1564</f>
        <v/>
      </c>
      <c r="J1564" s="9">
        <f>IF(AND(G1564&gt;0.9,G1564&lt;1),"OK","CHECK")</f>
        <v/>
      </c>
    </row>
    <row r="1565">
      <c r="A1565" s="9" t="n">
        <v>49</v>
      </c>
      <c r="B1565" s="9" t="n">
        <v>12</v>
      </c>
      <c r="C1565" s="9" t="n">
        <v>37</v>
      </c>
      <c r="D1565" s="9" t="n">
        <v>3</v>
      </c>
      <c r="E1565" s="10">
        <f>COMBIN(A1565,D1565)/COMBIN(A1565-B1565,D1565)</f>
        <v/>
      </c>
      <c r="F1565" s="11">
        <f>ROUNDUP(E1565*Controls!$B$4,4)</f>
        <v/>
      </c>
      <c r="G1565" s="12">
        <f>F1565/E1565</f>
        <v/>
      </c>
      <c r="H1565" s="10">
        <f>(A1565-B1565-(D1565-1))/(A1565-(D1565-1))</f>
        <v/>
      </c>
      <c r="I1565" s="9">
        <f>A1565&amp;'x'&amp;B1565</f>
        <v/>
      </c>
      <c r="J1565" s="9">
        <f>IF(AND(G1565&gt;0.9,G1565&lt;1),"OK","CHECK")</f>
        <v/>
      </c>
    </row>
    <row r="1566">
      <c r="A1566" s="9" t="n">
        <v>49</v>
      </c>
      <c r="B1566" s="9" t="n">
        <v>12</v>
      </c>
      <c r="C1566" s="9" t="n">
        <v>37</v>
      </c>
      <c r="D1566" s="9" t="n">
        <v>4</v>
      </c>
      <c r="E1566" s="10">
        <f>COMBIN(A1566,D1566)/COMBIN(A1566-B1566,D1566)</f>
        <v/>
      </c>
      <c r="F1566" s="11">
        <f>ROUNDUP(E1566*Controls!$B$4,4)</f>
        <v/>
      </c>
      <c r="G1566" s="12">
        <f>F1566/E1566</f>
        <v/>
      </c>
      <c r="H1566" s="10">
        <f>(A1566-B1566-(D1566-1))/(A1566-(D1566-1))</f>
        <v/>
      </c>
      <c r="I1566" s="9">
        <f>A1566&amp;'x'&amp;B1566</f>
        <v/>
      </c>
      <c r="J1566" s="9">
        <f>IF(AND(G1566&gt;0.9,G1566&lt;1),"OK","CHECK")</f>
        <v/>
      </c>
    </row>
    <row r="1567">
      <c r="A1567" s="9" t="n">
        <v>49</v>
      </c>
      <c r="B1567" s="9" t="n">
        <v>12</v>
      </c>
      <c r="C1567" s="9" t="n">
        <v>37</v>
      </c>
      <c r="D1567" s="9" t="n">
        <v>5</v>
      </c>
      <c r="E1567" s="10">
        <f>COMBIN(A1567,D1567)/COMBIN(A1567-B1567,D1567)</f>
        <v/>
      </c>
      <c r="F1567" s="11">
        <f>ROUNDUP(E1567*Controls!$B$4,4)</f>
        <v/>
      </c>
      <c r="G1567" s="12">
        <f>F1567/E1567</f>
        <v/>
      </c>
      <c r="H1567" s="10">
        <f>(A1567-B1567-(D1567-1))/(A1567-(D1567-1))</f>
        <v/>
      </c>
      <c r="I1567" s="9">
        <f>A1567&amp;'x'&amp;B1567</f>
        <v/>
      </c>
      <c r="J1567" s="9">
        <f>IF(AND(G1567&gt;0.9,G1567&lt;1),"OK","CHECK")</f>
        <v/>
      </c>
    </row>
    <row r="1568">
      <c r="A1568" s="9" t="n">
        <v>49</v>
      </c>
      <c r="B1568" s="9" t="n">
        <v>12</v>
      </c>
      <c r="C1568" s="9" t="n">
        <v>37</v>
      </c>
      <c r="D1568" s="9" t="n">
        <v>6</v>
      </c>
      <c r="E1568" s="10">
        <f>COMBIN(A1568,D1568)/COMBIN(A1568-B1568,D1568)</f>
        <v/>
      </c>
      <c r="F1568" s="11">
        <f>ROUNDUP(E1568*Controls!$B$4,4)</f>
        <v/>
      </c>
      <c r="G1568" s="12">
        <f>F1568/E1568</f>
        <v/>
      </c>
      <c r="H1568" s="10">
        <f>(A1568-B1568-(D1568-1))/(A1568-(D1568-1))</f>
        <v/>
      </c>
      <c r="I1568" s="9">
        <f>A1568&amp;'x'&amp;B1568</f>
        <v/>
      </c>
      <c r="J1568" s="9">
        <f>IF(AND(G1568&gt;0.9,G1568&lt;1),"OK","CHECK")</f>
        <v/>
      </c>
    </row>
    <row r="1569">
      <c r="A1569" s="9" t="n">
        <v>49</v>
      </c>
      <c r="B1569" s="9" t="n">
        <v>12</v>
      </c>
      <c r="C1569" s="9" t="n">
        <v>37</v>
      </c>
      <c r="D1569" s="9" t="n">
        <v>7</v>
      </c>
      <c r="E1569" s="10">
        <f>COMBIN(A1569,D1569)/COMBIN(A1569-B1569,D1569)</f>
        <v/>
      </c>
      <c r="F1569" s="11">
        <f>ROUNDUP(E1569*Controls!$B$4,4)</f>
        <v/>
      </c>
      <c r="G1569" s="12">
        <f>F1569/E1569</f>
        <v/>
      </c>
      <c r="H1569" s="10">
        <f>(A1569-B1569-(D1569-1))/(A1569-(D1569-1))</f>
        <v/>
      </c>
      <c r="I1569" s="9">
        <f>A1569&amp;'x'&amp;B1569</f>
        <v/>
      </c>
      <c r="J1569" s="9">
        <f>IF(AND(G1569&gt;0.9,G1569&lt;1),"OK","CHECK")</f>
        <v/>
      </c>
    </row>
    <row r="1570">
      <c r="A1570" s="9" t="n">
        <v>49</v>
      </c>
      <c r="B1570" s="9" t="n">
        <v>12</v>
      </c>
      <c r="C1570" s="9" t="n">
        <v>37</v>
      </c>
      <c r="D1570" s="9" t="n">
        <v>8</v>
      </c>
      <c r="E1570" s="10">
        <f>COMBIN(A1570,D1570)/COMBIN(A1570-B1570,D1570)</f>
        <v/>
      </c>
      <c r="F1570" s="11">
        <f>ROUNDUP(E1570*Controls!$B$4,4)</f>
        <v/>
      </c>
      <c r="G1570" s="12">
        <f>F1570/E1570</f>
        <v/>
      </c>
      <c r="H1570" s="10">
        <f>(A1570-B1570-(D1570-1))/(A1570-(D1570-1))</f>
        <v/>
      </c>
      <c r="I1570" s="9">
        <f>A1570&amp;'x'&amp;B1570</f>
        <v/>
      </c>
      <c r="J1570" s="9">
        <f>IF(AND(G1570&gt;0.9,G1570&lt;1),"OK","CHECK")</f>
        <v/>
      </c>
    </row>
    <row r="1571">
      <c r="A1571" s="9" t="n">
        <v>49</v>
      </c>
      <c r="B1571" s="9" t="n">
        <v>12</v>
      </c>
      <c r="C1571" s="9" t="n">
        <v>37</v>
      </c>
      <c r="D1571" s="9" t="n">
        <v>9</v>
      </c>
      <c r="E1571" s="10">
        <f>COMBIN(A1571,D1571)/COMBIN(A1571-B1571,D1571)</f>
        <v/>
      </c>
      <c r="F1571" s="11">
        <f>ROUNDUP(E1571*Controls!$B$4,4)</f>
        <v/>
      </c>
      <c r="G1571" s="12">
        <f>F1571/E1571</f>
        <v/>
      </c>
      <c r="H1571" s="10">
        <f>(A1571-B1571-(D1571-1))/(A1571-(D1571-1))</f>
        <v/>
      </c>
      <c r="I1571" s="9">
        <f>A1571&amp;'x'&amp;B1571</f>
        <v/>
      </c>
      <c r="J1571" s="9">
        <f>IF(AND(G1571&gt;0.9,G1571&lt;1),"OK","CHECK")</f>
        <v/>
      </c>
    </row>
    <row r="1572">
      <c r="A1572" s="9" t="n">
        <v>49</v>
      </c>
      <c r="B1572" s="9" t="n">
        <v>12</v>
      </c>
      <c r="C1572" s="9" t="n">
        <v>37</v>
      </c>
      <c r="D1572" s="9" t="n">
        <v>10</v>
      </c>
      <c r="E1572" s="10">
        <f>COMBIN(A1572,D1572)/COMBIN(A1572-B1572,D1572)</f>
        <v/>
      </c>
      <c r="F1572" s="11">
        <f>ROUNDUP(E1572*Controls!$B$4,4)</f>
        <v/>
      </c>
      <c r="G1572" s="12">
        <f>F1572/E1572</f>
        <v/>
      </c>
      <c r="H1572" s="10">
        <f>(A1572-B1572-(D1572-1))/(A1572-(D1572-1))</f>
        <v/>
      </c>
      <c r="I1572" s="9">
        <f>A1572&amp;'x'&amp;B1572</f>
        <v/>
      </c>
      <c r="J1572" s="9">
        <f>IF(AND(G1572&gt;0.9,G1572&lt;1),"OK","CHECK")</f>
        <v/>
      </c>
    </row>
    <row r="1573">
      <c r="A1573" s="9" t="n">
        <v>49</v>
      </c>
      <c r="B1573" s="9" t="n">
        <v>12</v>
      </c>
      <c r="C1573" s="9" t="n">
        <v>37</v>
      </c>
      <c r="D1573" s="9" t="n">
        <v>11</v>
      </c>
      <c r="E1573" s="10">
        <f>COMBIN(A1573,D1573)/COMBIN(A1573-B1573,D1573)</f>
        <v/>
      </c>
      <c r="F1573" s="11">
        <f>ROUNDUP(E1573*Controls!$B$4,4)</f>
        <v/>
      </c>
      <c r="G1573" s="12">
        <f>F1573/E1573</f>
        <v/>
      </c>
      <c r="H1573" s="10">
        <f>(A1573-B1573-(D1573-1))/(A1573-(D1573-1))</f>
        <v/>
      </c>
      <c r="I1573" s="9">
        <f>A1573&amp;'x'&amp;B1573</f>
        <v/>
      </c>
      <c r="J1573" s="9">
        <f>IF(AND(G1573&gt;0.9,G1573&lt;1),"OK","CHECK")</f>
        <v/>
      </c>
    </row>
    <row r="1574">
      <c r="A1574" s="9" t="n">
        <v>49</v>
      </c>
      <c r="B1574" s="9" t="n">
        <v>12</v>
      </c>
      <c r="C1574" s="9" t="n">
        <v>37</v>
      </c>
      <c r="D1574" s="9" t="n">
        <v>12</v>
      </c>
      <c r="E1574" s="10">
        <f>COMBIN(A1574,D1574)/COMBIN(A1574-B1574,D1574)</f>
        <v/>
      </c>
      <c r="F1574" s="11">
        <f>ROUNDUP(E1574*Controls!$B$4,4)</f>
        <v/>
      </c>
      <c r="G1574" s="12">
        <f>F1574/E1574</f>
        <v/>
      </c>
      <c r="H1574" s="10">
        <f>(A1574-B1574-(D1574-1))/(A1574-(D1574-1))</f>
        <v/>
      </c>
      <c r="I1574" s="9">
        <f>A1574&amp;'x'&amp;B1574</f>
        <v/>
      </c>
      <c r="J1574" s="9">
        <f>IF(AND(G1574&gt;0.9,G1574&lt;1),"OK","CHECK")</f>
        <v/>
      </c>
    </row>
    <row r="1575">
      <c r="A1575" s="9" t="n">
        <v>49</v>
      </c>
      <c r="B1575" s="9" t="n">
        <v>12</v>
      </c>
      <c r="C1575" s="9" t="n">
        <v>37</v>
      </c>
      <c r="D1575" s="9" t="n">
        <v>13</v>
      </c>
      <c r="E1575" s="10">
        <f>COMBIN(A1575,D1575)/COMBIN(A1575-B1575,D1575)</f>
        <v/>
      </c>
      <c r="F1575" s="11">
        <f>ROUNDUP(E1575*Controls!$B$4,4)</f>
        <v/>
      </c>
      <c r="G1575" s="12">
        <f>F1575/E1575</f>
        <v/>
      </c>
      <c r="H1575" s="10">
        <f>(A1575-B1575-(D1575-1))/(A1575-(D1575-1))</f>
        <v/>
      </c>
      <c r="I1575" s="9">
        <f>A1575&amp;'x'&amp;B1575</f>
        <v/>
      </c>
      <c r="J1575" s="9">
        <f>IF(AND(G1575&gt;0.9,G1575&lt;1),"OK","CHECK")</f>
        <v/>
      </c>
    </row>
    <row r="1576">
      <c r="A1576" s="9" t="n">
        <v>49</v>
      </c>
      <c r="B1576" s="9" t="n">
        <v>12</v>
      </c>
      <c r="C1576" s="9" t="n">
        <v>37</v>
      </c>
      <c r="D1576" s="9" t="n">
        <v>14</v>
      </c>
      <c r="E1576" s="10">
        <f>COMBIN(A1576,D1576)/COMBIN(A1576-B1576,D1576)</f>
        <v/>
      </c>
      <c r="F1576" s="11">
        <f>ROUNDUP(E1576*Controls!$B$4,4)</f>
        <v/>
      </c>
      <c r="G1576" s="12">
        <f>F1576/E1576</f>
        <v/>
      </c>
      <c r="H1576" s="10">
        <f>(A1576-B1576-(D1576-1))/(A1576-(D1576-1))</f>
        <v/>
      </c>
      <c r="I1576" s="9">
        <f>A1576&amp;'x'&amp;B1576</f>
        <v/>
      </c>
      <c r="J1576" s="9">
        <f>IF(AND(G1576&gt;0.9,G1576&lt;1),"OK","CHECK")</f>
        <v/>
      </c>
    </row>
    <row r="1577">
      <c r="A1577" s="9" t="n">
        <v>49</v>
      </c>
      <c r="B1577" s="9" t="n">
        <v>12</v>
      </c>
      <c r="C1577" s="9" t="n">
        <v>37</v>
      </c>
      <c r="D1577" s="9" t="n">
        <v>15</v>
      </c>
      <c r="E1577" s="10">
        <f>COMBIN(A1577,D1577)/COMBIN(A1577-B1577,D1577)</f>
        <v/>
      </c>
      <c r="F1577" s="11">
        <f>ROUNDUP(E1577*Controls!$B$4,4)</f>
        <v/>
      </c>
      <c r="G1577" s="12">
        <f>F1577/E1577</f>
        <v/>
      </c>
      <c r="H1577" s="10">
        <f>(A1577-B1577-(D1577-1))/(A1577-(D1577-1))</f>
        <v/>
      </c>
      <c r="I1577" s="9">
        <f>A1577&amp;'x'&amp;B1577</f>
        <v/>
      </c>
      <c r="J1577" s="9">
        <f>IF(AND(G1577&gt;0.9,G1577&lt;1),"OK","CHECK")</f>
        <v/>
      </c>
    </row>
    <row r="1578">
      <c r="A1578" s="9" t="n">
        <v>49</v>
      </c>
      <c r="B1578" s="9" t="n">
        <v>12</v>
      </c>
      <c r="C1578" s="9" t="n">
        <v>37</v>
      </c>
      <c r="D1578" s="9" t="n">
        <v>16</v>
      </c>
      <c r="E1578" s="10">
        <f>COMBIN(A1578,D1578)/COMBIN(A1578-B1578,D1578)</f>
        <v/>
      </c>
      <c r="F1578" s="11">
        <f>ROUNDUP(E1578*Controls!$B$4,4)</f>
        <v/>
      </c>
      <c r="G1578" s="12">
        <f>F1578/E1578</f>
        <v/>
      </c>
      <c r="H1578" s="10">
        <f>(A1578-B1578-(D1578-1))/(A1578-(D1578-1))</f>
        <v/>
      </c>
      <c r="I1578" s="9">
        <f>A1578&amp;'x'&amp;B1578</f>
        <v/>
      </c>
      <c r="J1578" s="9">
        <f>IF(AND(G1578&gt;0.9,G1578&lt;1),"OK","CHECK")</f>
        <v/>
      </c>
    </row>
    <row r="1579">
      <c r="A1579" s="9" t="n">
        <v>49</v>
      </c>
      <c r="B1579" s="9" t="n">
        <v>12</v>
      </c>
      <c r="C1579" s="9" t="n">
        <v>37</v>
      </c>
      <c r="D1579" s="9" t="n">
        <v>17</v>
      </c>
      <c r="E1579" s="10">
        <f>COMBIN(A1579,D1579)/COMBIN(A1579-B1579,D1579)</f>
        <v/>
      </c>
      <c r="F1579" s="11">
        <f>ROUNDUP(E1579*Controls!$B$4,4)</f>
        <v/>
      </c>
      <c r="G1579" s="12">
        <f>F1579/E1579</f>
        <v/>
      </c>
      <c r="H1579" s="10">
        <f>(A1579-B1579-(D1579-1))/(A1579-(D1579-1))</f>
        <v/>
      </c>
      <c r="I1579" s="9">
        <f>A1579&amp;'x'&amp;B1579</f>
        <v/>
      </c>
      <c r="J1579" s="9">
        <f>IF(AND(G1579&gt;0.9,G1579&lt;1),"OK","CHECK")</f>
        <v/>
      </c>
    </row>
    <row r="1580">
      <c r="A1580" s="9" t="n">
        <v>49</v>
      </c>
      <c r="B1580" s="9" t="n">
        <v>12</v>
      </c>
      <c r="C1580" s="9" t="n">
        <v>37</v>
      </c>
      <c r="D1580" s="9" t="n">
        <v>18</v>
      </c>
      <c r="E1580" s="10">
        <f>COMBIN(A1580,D1580)/COMBIN(A1580-B1580,D1580)</f>
        <v/>
      </c>
      <c r="F1580" s="11">
        <f>ROUNDUP(E1580*Controls!$B$4,4)</f>
        <v/>
      </c>
      <c r="G1580" s="12">
        <f>F1580/E1580</f>
        <v/>
      </c>
      <c r="H1580" s="10">
        <f>(A1580-B1580-(D1580-1))/(A1580-(D1580-1))</f>
        <v/>
      </c>
      <c r="I1580" s="9">
        <f>A1580&amp;'x'&amp;B1580</f>
        <v/>
      </c>
      <c r="J1580" s="9">
        <f>IF(AND(G1580&gt;0.9,G1580&lt;1),"OK","CHECK")</f>
        <v/>
      </c>
    </row>
    <row r="1581">
      <c r="A1581" s="9" t="n">
        <v>49</v>
      </c>
      <c r="B1581" s="9" t="n">
        <v>12</v>
      </c>
      <c r="C1581" s="9" t="n">
        <v>37</v>
      </c>
      <c r="D1581" s="9" t="n">
        <v>19</v>
      </c>
      <c r="E1581" s="10">
        <f>COMBIN(A1581,D1581)/COMBIN(A1581-B1581,D1581)</f>
        <v/>
      </c>
      <c r="F1581" s="11">
        <f>ROUNDUP(E1581*Controls!$B$4,4)</f>
        <v/>
      </c>
      <c r="G1581" s="12">
        <f>F1581/E1581</f>
        <v/>
      </c>
      <c r="H1581" s="10">
        <f>(A1581-B1581-(D1581-1))/(A1581-(D1581-1))</f>
        <v/>
      </c>
      <c r="I1581" s="9">
        <f>A1581&amp;'x'&amp;B1581</f>
        <v/>
      </c>
      <c r="J1581" s="9">
        <f>IF(AND(G1581&gt;0.9,G1581&lt;1),"OK","CHECK")</f>
        <v/>
      </c>
    </row>
    <row r="1582">
      <c r="A1582" s="9" t="n">
        <v>49</v>
      </c>
      <c r="B1582" s="9" t="n">
        <v>12</v>
      </c>
      <c r="C1582" s="9" t="n">
        <v>37</v>
      </c>
      <c r="D1582" s="9" t="n">
        <v>20</v>
      </c>
      <c r="E1582" s="10">
        <f>COMBIN(A1582,D1582)/COMBIN(A1582-B1582,D1582)</f>
        <v/>
      </c>
      <c r="F1582" s="11">
        <f>ROUNDUP(E1582*Controls!$B$4,4)</f>
        <v/>
      </c>
      <c r="G1582" s="12">
        <f>F1582/E1582</f>
        <v/>
      </c>
      <c r="H1582" s="10">
        <f>(A1582-B1582-(D1582-1))/(A1582-(D1582-1))</f>
        <v/>
      </c>
      <c r="I1582" s="9">
        <f>A1582&amp;'x'&amp;B1582</f>
        <v/>
      </c>
      <c r="J1582" s="9">
        <f>IF(AND(G1582&gt;0.9,G1582&lt;1),"OK","CHECK")</f>
        <v/>
      </c>
    </row>
    <row r="1583">
      <c r="A1583" s="9" t="n">
        <v>49</v>
      </c>
      <c r="B1583" s="9" t="n">
        <v>12</v>
      </c>
      <c r="C1583" s="9" t="n">
        <v>37</v>
      </c>
      <c r="D1583" s="9" t="n">
        <v>21</v>
      </c>
      <c r="E1583" s="10">
        <f>COMBIN(A1583,D1583)/COMBIN(A1583-B1583,D1583)</f>
        <v/>
      </c>
      <c r="F1583" s="11">
        <f>ROUNDUP(E1583*Controls!$B$4,4)</f>
        <v/>
      </c>
      <c r="G1583" s="12">
        <f>F1583/E1583</f>
        <v/>
      </c>
      <c r="H1583" s="10">
        <f>(A1583-B1583-(D1583-1))/(A1583-(D1583-1))</f>
        <v/>
      </c>
      <c r="I1583" s="9">
        <f>A1583&amp;'x'&amp;B1583</f>
        <v/>
      </c>
      <c r="J1583" s="9">
        <f>IF(AND(G1583&gt;0.9,G1583&lt;1),"OK","CHECK")</f>
        <v/>
      </c>
    </row>
    <row r="1584">
      <c r="A1584" s="9" t="n">
        <v>49</v>
      </c>
      <c r="B1584" s="9" t="n">
        <v>12</v>
      </c>
      <c r="C1584" s="9" t="n">
        <v>37</v>
      </c>
      <c r="D1584" s="9" t="n">
        <v>22</v>
      </c>
      <c r="E1584" s="10">
        <f>COMBIN(A1584,D1584)/COMBIN(A1584-B1584,D1584)</f>
        <v/>
      </c>
      <c r="F1584" s="11">
        <f>ROUNDUP(E1584*Controls!$B$4,4)</f>
        <v/>
      </c>
      <c r="G1584" s="12">
        <f>F1584/E1584</f>
        <v/>
      </c>
      <c r="H1584" s="10">
        <f>(A1584-B1584-(D1584-1))/(A1584-(D1584-1))</f>
        <v/>
      </c>
      <c r="I1584" s="9">
        <f>A1584&amp;'x'&amp;B1584</f>
        <v/>
      </c>
      <c r="J1584" s="9">
        <f>IF(AND(G1584&gt;0.9,G1584&lt;1),"OK","CHECK")</f>
        <v/>
      </c>
    </row>
    <row r="1585">
      <c r="A1585" s="9" t="n">
        <v>49</v>
      </c>
      <c r="B1585" s="9" t="n">
        <v>12</v>
      </c>
      <c r="C1585" s="9" t="n">
        <v>37</v>
      </c>
      <c r="D1585" s="9" t="n">
        <v>23</v>
      </c>
      <c r="E1585" s="10">
        <f>COMBIN(A1585,D1585)/COMBIN(A1585-B1585,D1585)</f>
        <v/>
      </c>
      <c r="F1585" s="11">
        <f>ROUNDUP(E1585*Controls!$B$4,4)</f>
        <v/>
      </c>
      <c r="G1585" s="12">
        <f>F1585/E1585</f>
        <v/>
      </c>
      <c r="H1585" s="10">
        <f>(A1585-B1585-(D1585-1))/(A1585-(D1585-1))</f>
        <v/>
      </c>
      <c r="I1585" s="9">
        <f>A1585&amp;'x'&amp;B1585</f>
        <v/>
      </c>
      <c r="J1585" s="9">
        <f>IF(AND(G1585&gt;0.9,G1585&lt;1),"OK","CHECK")</f>
        <v/>
      </c>
    </row>
    <row r="1586">
      <c r="A1586" s="9" t="n">
        <v>49</v>
      </c>
      <c r="B1586" s="9" t="n">
        <v>12</v>
      </c>
      <c r="C1586" s="9" t="n">
        <v>37</v>
      </c>
      <c r="D1586" s="9" t="n">
        <v>24</v>
      </c>
      <c r="E1586" s="10">
        <f>COMBIN(A1586,D1586)/COMBIN(A1586-B1586,D1586)</f>
        <v/>
      </c>
      <c r="F1586" s="11">
        <f>ROUNDUP(E1586*Controls!$B$4,4)</f>
        <v/>
      </c>
      <c r="G1586" s="12">
        <f>F1586/E1586</f>
        <v/>
      </c>
      <c r="H1586" s="10">
        <f>(A1586-B1586-(D1586-1))/(A1586-(D1586-1))</f>
        <v/>
      </c>
      <c r="I1586" s="9">
        <f>A1586&amp;'x'&amp;B1586</f>
        <v/>
      </c>
      <c r="J1586" s="9">
        <f>IF(AND(G1586&gt;0.9,G1586&lt;1),"OK","CHECK")</f>
        <v/>
      </c>
    </row>
    <row r="1587">
      <c r="A1587" s="9" t="n">
        <v>49</v>
      </c>
      <c r="B1587" s="9" t="n">
        <v>12</v>
      </c>
      <c r="C1587" s="9" t="n">
        <v>37</v>
      </c>
      <c r="D1587" s="9" t="n">
        <v>25</v>
      </c>
      <c r="E1587" s="10">
        <f>COMBIN(A1587,D1587)/COMBIN(A1587-B1587,D1587)</f>
        <v/>
      </c>
      <c r="F1587" s="11">
        <f>ROUNDUP(E1587*Controls!$B$4,4)</f>
        <v/>
      </c>
      <c r="G1587" s="12">
        <f>F1587/E1587</f>
        <v/>
      </c>
      <c r="H1587" s="10">
        <f>(A1587-B1587-(D1587-1))/(A1587-(D1587-1))</f>
        <v/>
      </c>
      <c r="I1587" s="9">
        <f>A1587&amp;'x'&amp;B1587</f>
        <v/>
      </c>
      <c r="J1587" s="9">
        <f>IF(AND(G1587&gt;0.9,G1587&lt;1),"OK","CHECK")</f>
        <v/>
      </c>
    </row>
    <row r="1588">
      <c r="A1588" s="9" t="n">
        <v>49</v>
      </c>
      <c r="B1588" s="9" t="n">
        <v>12</v>
      </c>
      <c r="C1588" s="9" t="n">
        <v>37</v>
      </c>
      <c r="D1588" s="9" t="n">
        <v>26</v>
      </c>
      <c r="E1588" s="10">
        <f>COMBIN(A1588,D1588)/COMBIN(A1588-B1588,D1588)</f>
        <v/>
      </c>
      <c r="F1588" s="11">
        <f>ROUNDUP(E1588*Controls!$B$4,4)</f>
        <v/>
      </c>
      <c r="G1588" s="12">
        <f>F1588/E1588</f>
        <v/>
      </c>
      <c r="H1588" s="10">
        <f>(A1588-B1588-(D1588-1))/(A1588-(D1588-1))</f>
        <v/>
      </c>
      <c r="I1588" s="9">
        <f>A1588&amp;'x'&amp;B1588</f>
        <v/>
      </c>
      <c r="J1588" s="9">
        <f>IF(AND(G1588&gt;0.9,G1588&lt;1),"OK","CHECK")</f>
        <v/>
      </c>
    </row>
    <row r="1589">
      <c r="A1589" s="9" t="n">
        <v>49</v>
      </c>
      <c r="B1589" s="9" t="n">
        <v>12</v>
      </c>
      <c r="C1589" s="9" t="n">
        <v>37</v>
      </c>
      <c r="D1589" s="9" t="n">
        <v>27</v>
      </c>
      <c r="E1589" s="10">
        <f>COMBIN(A1589,D1589)/COMBIN(A1589-B1589,D1589)</f>
        <v/>
      </c>
      <c r="F1589" s="11">
        <f>ROUNDUP(E1589*Controls!$B$4,4)</f>
        <v/>
      </c>
      <c r="G1589" s="12">
        <f>F1589/E1589</f>
        <v/>
      </c>
      <c r="H1589" s="10">
        <f>(A1589-B1589-(D1589-1))/(A1589-(D1589-1))</f>
        <v/>
      </c>
      <c r="I1589" s="9">
        <f>A1589&amp;'x'&amp;B1589</f>
        <v/>
      </c>
      <c r="J1589" s="9">
        <f>IF(AND(G1589&gt;0.9,G1589&lt;1),"OK","CHECK")</f>
        <v/>
      </c>
    </row>
    <row r="1590">
      <c r="A1590" s="9" t="n">
        <v>49</v>
      </c>
      <c r="B1590" s="9" t="n">
        <v>12</v>
      </c>
      <c r="C1590" s="9" t="n">
        <v>37</v>
      </c>
      <c r="D1590" s="9" t="n">
        <v>28</v>
      </c>
      <c r="E1590" s="10">
        <f>COMBIN(A1590,D1590)/COMBIN(A1590-B1590,D1590)</f>
        <v/>
      </c>
      <c r="F1590" s="11">
        <f>ROUNDUP(E1590*Controls!$B$4,4)</f>
        <v/>
      </c>
      <c r="G1590" s="12">
        <f>F1590/E1590</f>
        <v/>
      </c>
      <c r="H1590" s="10">
        <f>(A1590-B1590-(D1590-1))/(A1590-(D1590-1))</f>
        <v/>
      </c>
      <c r="I1590" s="9">
        <f>A1590&amp;'x'&amp;B1590</f>
        <v/>
      </c>
      <c r="J1590" s="9">
        <f>IF(AND(G1590&gt;0.9,G1590&lt;1),"OK","CHECK")</f>
        <v/>
      </c>
    </row>
    <row r="1591">
      <c r="A1591" s="9" t="n">
        <v>49</v>
      </c>
      <c r="B1591" s="9" t="n">
        <v>12</v>
      </c>
      <c r="C1591" s="9" t="n">
        <v>37</v>
      </c>
      <c r="D1591" s="9" t="n">
        <v>29</v>
      </c>
      <c r="E1591" s="10">
        <f>COMBIN(A1591,D1591)/COMBIN(A1591-B1591,D1591)</f>
        <v/>
      </c>
      <c r="F1591" s="11">
        <f>ROUNDUP(E1591*Controls!$B$4,4)</f>
        <v/>
      </c>
      <c r="G1591" s="12">
        <f>F1591/E1591</f>
        <v/>
      </c>
      <c r="H1591" s="10">
        <f>(A1591-B1591-(D1591-1))/(A1591-(D1591-1))</f>
        <v/>
      </c>
      <c r="I1591" s="9">
        <f>A1591&amp;'x'&amp;B1591</f>
        <v/>
      </c>
      <c r="J1591" s="9">
        <f>IF(AND(G1591&gt;0.9,G1591&lt;1),"OK","CHECK")</f>
        <v/>
      </c>
    </row>
    <row r="1592">
      <c r="A1592" s="9" t="n">
        <v>49</v>
      </c>
      <c r="B1592" s="9" t="n">
        <v>12</v>
      </c>
      <c r="C1592" s="9" t="n">
        <v>37</v>
      </c>
      <c r="D1592" s="9" t="n">
        <v>30</v>
      </c>
      <c r="E1592" s="10">
        <f>COMBIN(A1592,D1592)/COMBIN(A1592-B1592,D1592)</f>
        <v/>
      </c>
      <c r="F1592" s="11">
        <f>ROUNDUP(E1592*Controls!$B$4,4)</f>
        <v/>
      </c>
      <c r="G1592" s="12">
        <f>F1592/E1592</f>
        <v/>
      </c>
      <c r="H1592" s="10">
        <f>(A1592-B1592-(D1592-1))/(A1592-(D1592-1))</f>
        <v/>
      </c>
      <c r="I1592" s="9">
        <f>A1592&amp;'x'&amp;B1592</f>
        <v/>
      </c>
      <c r="J1592" s="9">
        <f>IF(AND(G1592&gt;0.9,G1592&lt;1),"OK","CHECK")</f>
        <v/>
      </c>
    </row>
    <row r="1593">
      <c r="A1593" s="9" t="n">
        <v>49</v>
      </c>
      <c r="B1593" s="9" t="n">
        <v>12</v>
      </c>
      <c r="C1593" s="9" t="n">
        <v>37</v>
      </c>
      <c r="D1593" s="9" t="n">
        <v>31</v>
      </c>
      <c r="E1593" s="10">
        <f>COMBIN(A1593,D1593)/COMBIN(A1593-B1593,D1593)</f>
        <v/>
      </c>
      <c r="F1593" s="11">
        <f>ROUNDUP(E1593*Controls!$B$4,4)</f>
        <v/>
      </c>
      <c r="G1593" s="12">
        <f>F1593/E1593</f>
        <v/>
      </c>
      <c r="H1593" s="10">
        <f>(A1593-B1593-(D1593-1))/(A1593-(D1593-1))</f>
        <v/>
      </c>
      <c r="I1593" s="9">
        <f>A1593&amp;'x'&amp;B1593</f>
        <v/>
      </c>
      <c r="J1593" s="9">
        <f>IF(AND(G1593&gt;0.9,G1593&lt;1),"OK","CHECK")</f>
        <v/>
      </c>
    </row>
    <row r="1594">
      <c r="A1594" s="9" t="n">
        <v>49</v>
      </c>
      <c r="B1594" s="9" t="n">
        <v>12</v>
      </c>
      <c r="C1594" s="9" t="n">
        <v>37</v>
      </c>
      <c r="D1594" s="9" t="n">
        <v>32</v>
      </c>
      <c r="E1594" s="10">
        <f>COMBIN(A1594,D1594)/COMBIN(A1594-B1594,D1594)</f>
        <v/>
      </c>
      <c r="F1594" s="11">
        <f>ROUNDUP(E1594*Controls!$B$4,4)</f>
        <v/>
      </c>
      <c r="G1594" s="12">
        <f>F1594/E1594</f>
        <v/>
      </c>
      <c r="H1594" s="10">
        <f>(A1594-B1594-(D1594-1))/(A1594-(D1594-1))</f>
        <v/>
      </c>
      <c r="I1594" s="9">
        <f>A1594&amp;'x'&amp;B1594</f>
        <v/>
      </c>
      <c r="J1594" s="9">
        <f>IF(AND(G1594&gt;0.9,G1594&lt;1),"OK","CHECK")</f>
        <v/>
      </c>
    </row>
    <row r="1595">
      <c r="A1595" s="9" t="n">
        <v>49</v>
      </c>
      <c r="B1595" s="9" t="n">
        <v>12</v>
      </c>
      <c r="C1595" s="9" t="n">
        <v>37</v>
      </c>
      <c r="D1595" s="9" t="n">
        <v>33</v>
      </c>
      <c r="E1595" s="10">
        <f>COMBIN(A1595,D1595)/COMBIN(A1595-B1595,D1595)</f>
        <v/>
      </c>
      <c r="F1595" s="11">
        <f>ROUNDUP(E1595*Controls!$B$4,4)</f>
        <v/>
      </c>
      <c r="G1595" s="12">
        <f>F1595/E1595</f>
        <v/>
      </c>
      <c r="H1595" s="10">
        <f>(A1595-B1595-(D1595-1))/(A1595-(D1595-1))</f>
        <v/>
      </c>
      <c r="I1595" s="9">
        <f>A1595&amp;'x'&amp;B1595</f>
        <v/>
      </c>
      <c r="J1595" s="9">
        <f>IF(AND(G1595&gt;0.9,G1595&lt;1),"OK","CHECK")</f>
        <v/>
      </c>
    </row>
    <row r="1596">
      <c r="A1596" s="9" t="n">
        <v>49</v>
      </c>
      <c r="B1596" s="9" t="n">
        <v>12</v>
      </c>
      <c r="C1596" s="9" t="n">
        <v>37</v>
      </c>
      <c r="D1596" s="9" t="n">
        <v>34</v>
      </c>
      <c r="E1596" s="10">
        <f>COMBIN(A1596,D1596)/COMBIN(A1596-B1596,D1596)</f>
        <v/>
      </c>
      <c r="F1596" s="11">
        <f>ROUNDUP(E1596*Controls!$B$4,4)</f>
        <v/>
      </c>
      <c r="G1596" s="12">
        <f>F1596/E1596</f>
        <v/>
      </c>
      <c r="H1596" s="10">
        <f>(A1596-B1596-(D1596-1))/(A1596-(D1596-1))</f>
        <v/>
      </c>
      <c r="I1596" s="9">
        <f>A1596&amp;'x'&amp;B1596</f>
        <v/>
      </c>
      <c r="J1596" s="9">
        <f>IF(AND(G1596&gt;0.9,G1596&lt;1),"OK","CHECK")</f>
        <v/>
      </c>
    </row>
    <row r="1597">
      <c r="A1597" s="9" t="n">
        <v>49</v>
      </c>
      <c r="B1597" s="9" t="n">
        <v>12</v>
      </c>
      <c r="C1597" s="9" t="n">
        <v>37</v>
      </c>
      <c r="D1597" s="9" t="n">
        <v>35</v>
      </c>
      <c r="E1597" s="10">
        <f>COMBIN(A1597,D1597)/COMBIN(A1597-B1597,D1597)</f>
        <v/>
      </c>
      <c r="F1597" s="11">
        <f>ROUNDUP(E1597*Controls!$B$4,4)</f>
        <v/>
      </c>
      <c r="G1597" s="12">
        <f>F1597/E1597</f>
        <v/>
      </c>
      <c r="H1597" s="10">
        <f>(A1597-B1597-(D1597-1))/(A1597-(D1597-1))</f>
        <v/>
      </c>
      <c r="I1597" s="9">
        <f>A1597&amp;'x'&amp;B1597</f>
        <v/>
      </c>
      <c r="J1597" s="9">
        <f>IF(AND(G1597&gt;0.9,G1597&lt;1),"OK","CHECK")</f>
        <v/>
      </c>
    </row>
    <row r="1598">
      <c r="A1598" s="9" t="n">
        <v>49</v>
      </c>
      <c r="B1598" s="9" t="n">
        <v>12</v>
      </c>
      <c r="C1598" s="9" t="n">
        <v>37</v>
      </c>
      <c r="D1598" s="9" t="n">
        <v>36</v>
      </c>
      <c r="E1598" s="10">
        <f>COMBIN(A1598,D1598)/COMBIN(A1598-B1598,D1598)</f>
        <v/>
      </c>
      <c r="F1598" s="11">
        <f>ROUNDUP(E1598*Controls!$B$4,4)</f>
        <v/>
      </c>
      <c r="G1598" s="12">
        <f>F1598/E1598</f>
        <v/>
      </c>
      <c r="H1598" s="10">
        <f>(A1598-B1598-(D1598-1))/(A1598-(D1598-1))</f>
        <v/>
      </c>
      <c r="I1598" s="9">
        <f>A1598&amp;'x'&amp;B1598</f>
        <v/>
      </c>
      <c r="J1598" s="9">
        <f>IF(AND(G1598&gt;0.9,G1598&lt;1),"OK","CHECK")</f>
        <v/>
      </c>
    </row>
    <row r="1599">
      <c r="A1599" s="9" t="n">
        <v>49</v>
      </c>
      <c r="B1599" s="9" t="n">
        <v>12</v>
      </c>
      <c r="C1599" s="9" t="n">
        <v>37</v>
      </c>
      <c r="D1599" s="9" t="n">
        <v>37</v>
      </c>
      <c r="E1599" s="10">
        <f>COMBIN(A1599,D1599)/COMBIN(A1599-B1599,D1599)</f>
        <v/>
      </c>
      <c r="F1599" s="11">
        <f>ROUNDUP(E1599*Controls!$B$4,4)</f>
        <v/>
      </c>
      <c r="G1599" s="12">
        <f>F1599/E1599</f>
        <v/>
      </c>
      <c r="H1599" s="10">
        <f>(A1599-B1599-(D1599-1))/(A1599-(D1599-1))</f>
        <v/>
      </c>
      <c r="I1599" s="9">
        <f>A1599&amp;'x'&amp;B1599</f>
        <v/>
      </c>
      <c r="J1599" s="9">
        <f>IF(AND(G1599&gt;0.9,G1599&lt;1),"OK","CHECK")</f>
        <v/>
      </c>
    </row>
    <row r="1600">
      <c r="A1600" s="9" t="n">
        <v>49</v>
      </c>
      <c r="B1600" s="9" t="n">
        <v>13</v>
      </c>
      <c r="C1600" s="9" t="n">
        <v>36</v>
      </c>
      <c r="D1600" s="9" t="n">
        <v>1</v>
      </c>
      <c r="E1600" s="10">
        <f>COMBIN(A1600,D1600)/COMBIN(A1600-B1600,D1600)</f>
        <v/>
      </c>
      <c r="F1600" s="11">
        <f>ROUNDUP(E1600*Controls!$B$4,4)</f>
        <v/>
      </c>
      <c r="G1600" s="12">
        <f>F1600/E1600</f>
        <v/>
      </c>
      <c r="H1600" s="10">
        <f>(A1600-B1600-(D1600-1))/(A1600-(D1600-1))</f>
        <v/>
      </c>
      <c r="I1600" s="9">
        <f>A1600&amp;'x'&amp;B1600</f>
        <v/>
      </c>
      <c r="J1600" s="9">
        <f>IF(AND(G1600&gt;0.9,G1600&lt;1),"OK","CHECK")</f>
        <v/>
      </c>
    </row>
    <row r="1601">
      <c r="A1601" s="9" t="n">
        <v>49</v>
      </c>
      <c r="B1601" s="9" t="n">
        <v>13</v>
      </c>
      <c r="C1601" s="9" t="n">
        <v>36</v>
      </c>
      <c r="D1601" s="9" t="n">
        <v>2</v>
      </c>
      <c r="E1601" s="10">
        <f>COMBIN(A1601,D1601)/COMBIN(A1601-B1601,D1601)</f>
        <v/>
      </c>
      <c r="F1601" s="11">
        <f>ROUNDUP(E1601*Controls!$B$4,4)</f>
        <v/>
      </c>
      <c r="G1601" s="12">
        <f>F1601/E1601</f>
        <v/>
      </c>
      <c r="H1601" s="10">
        <f>(A1601-B1601-(D1601-1))/(A1601-(D1601-1))</f>
        <v/>
      </c>
      <c r="I1601" s="9">
        <f>A1601&amp;'x'&amp;B1601</f>
        <v/>
      </c>
      <c r="J1601" s="9">
        <f>IF(AND(G1601&gt;0.9,G1601&lt;1),"OK","CHECK")</f>
        <v/>
      </c>
    </row>
    <row r="1602">
      <c r="A1602" s="9" t="n">
        <v>49</v>
      </c>
      <c r="B1602" s="9" t="n">
        <v>13</v>
      </c>
      <c r="C1602" s="9" t="n">
        <v>36</v>
      </c>
      <c r="D1602" s="9" t="n">
        <v>3</v>
      </c>
      <c r="E1602" s="10">
        <f>COMBIN(A1602,D1602)/COMBIN(A1602-B1602,D1602)</f>
        <v/>
      </c>
      <c r="F1602" s="11">
        <f>ROUNDUP(E1602*Controls!$B$4,4)</f>
        <v/>
      </c>
      <c r="G1602" s="12">
        <f>F1602/E1602</f>
        <v/>
      </c>
      <c r="H1602" s="10">
        <f>(A1602-B1602-(D1602-1))/(A1602-(D1602-1))</f>
        <v/>
      </c>
      <c r="I1602" s="9">
        <f>A1602&amp;'x'&amp;B1602</f>
        <v/>
      </c>
      <c r="J1602" s="9">
        <f>IF(AND(G1602&gt;0.9,G1602&lt;1),"OK","CHECK")</f>
        <v/>
      </c>
    </row>
    <row r="1603">
      <c r="A1603" s="9" t="n">
        <v>49</v>
      </c>
      <c r="B1603" s="9" t="n">
        <v>13</v>
      </c>
      <c r="C1603" s="9" t="n">
        <v>36</v>
      </c>
      <c r="D1603" s="9" t="n">
        <v>4</v>
      </c>
      <c r="E1603" s="10">
        <f>COMBIN(A1603,D1603)/COMBIN(A1603-B1603,D1603)</f>
        <v/>
      </c>
      <c r="F1603" s="11">
        <f>ROUNDUP(E1603*Controls!$B$4,4)</f>
        <v/>
      </c>
      <c r="G1603" s="12">
        <f>F1603/E1603</f>
        <v/>
      </c>
      <c r="H1603" s="10">
        <f>(A1603-B1603-(D1603-1))/(A1603-(D1603-1))</f>
        <v/>
      </c>
      <c r="I1603" s="9">
        <f>A1603&amp;'x'&amp;B1603</f>
        <v/>
      </c>
      <c r="J1603" s="9">
        <f>IF(AND(G1603&gt;0.9,G1603&lt;1),"OK","CHECK")</f>
        <v/>
      </c>
    </row>
    <row r="1604">
      <c r="A1604" s="9" t="n">
        <v>49</v>
      </c>
      <c r="B1604" s="9" t="n">
        <v>13</v>
      </c>
      <c r="C1604" s="9" t="n">
        <v>36</v>
      </c>
      <c r="D1604" s="9" t="n">
        <v>5</v>
      </c>
      <c r="E1604" s="10">
        <f>COMBIN(A1604,D1604)/COMBIN(A1604-B1604,D1604)</f>
        <v/>
      </c>
      <c r="F1604" s="11">
        <f>ROUNDUP(E1604*Controls!$B$4,4)</f>
        <v/>
      </c>
      <c r="G1604" s="12">
        <f>F1604/E1604</f>
        <v/>
      </c>
      <c r="H1604" s="10">
        <f>(A1604-B1604-(D1604-1))/(A1604-(D1604-1))</f>
        <v/>
      </c>
      <c r="I1604" s="9">
        <f>A1604&amp;'x'&amp;B1604</f>
        <v/>
      </c>
      <c r="J1604" s="9">
        <f>IF(AND(G1604&gt;0.9,G1604&lt;1),"OK","CHECK")</f>
        <v/>
      </c>
    </row>
    <row r="1605">
      <c r="A1605" s="9" t="n">
        <v>49</v>
      </c>
      <c r="B1605" s="9" t="n">
        <v>13</v>
      </c>
      <c r="C1605" s="9" t="n">
        <v>36</v>
      </c>
      <c r="D1605" s="9" t="n">
        <v>6</v>
      </c>
      <c r="E1605" s="10">
        <f>COMBIN(A1605,D1605)/COMBIN(A1605-B1605,D1605)</f>
        <v/>
      </c>
      <c r="F1605" s="11">
        <f>ROUNDUP(E1605*Controls!$B$4,4)</f>
        <v/>
      </c>
      <c r="G1605" s="12">
        <f>F1605/E1605</f>
        <v/>
      </c>
      <c r="H1605" s="10">
        <f>(A1605-B1605-(D1605-1))/(A1605-(D1605-1))</f>
        <v/>
      </c>
      <c r="I1605" s="9">
        <f>A1605&amp;'x'&amp;B1605</f>
        <v/>
      </c>
      <c r="J1605" s="9">
        <f>IF(AND(G1605&gt;0.9,G1605&lt;1),"OK","CHECK")</f>
        <v/>
      </c>
    </row>
    <row r="1606">
      <c r="A1606" s="9" t="n">
        <v>49</v>
      </c>
      <c r="B1606" s="9" t="n">
        <v>13</v>
      </c>
      <c r="C1606" s="9" t="n">
        <v>36</v>
      </c>
      <c r="D1606" s="9" t="n">
        <v>7</v>
      </c>
      <c r="E1606" s="10">
        <f>COMBIN(A1606,D1606)/COMBIN(A1606-B1606,D1606)</f>
        <v/>
      </c>
      <c r="F1606" s="11">
        <f>ROUNDUP(E1606*Controls!$B$4,4)</f>
        <v/>
      </c>
      <c r="G1606" s="12">
        <f>F1606/E1606</f>
        <v/>
      </c>
      <c r="H1606" s="10">
        <f>(A1606-B1606-(D1606-1))/(A1606-(D1606-1))</f>
        <v/>
      </c>
      <c r="I1606" s="9">
        <f>A1606&amp;'x'&amp;B1606</f>
        <v/>
      </c>
      <c r="J1606" s="9">
        <f>IF(AND(G1606&gt;0.9,G1606&lt;1),"OK","CHECK")</f>
        <v/>
      </c>
    </row>
    <row r="1607">
      <c r="A1607" s="9" t="n">
        <v>49</v>
      </c>
      <c r="B1607" s="9" t="n">
        <v>13</v>
      </c>
      <c r="C1607" s="9" t="n">
        <v>36</v>
      </c>
      <c r="D1607" s="9" t="n">
        <v>8</v>
      </c>
      <c r="E1607" s="10">
        <f>COMBIN(A1607,D1607)/COMBIN(A1607-B1607,D1607)</f>
        <v/>
      </c>
      <c r="F1607" s="11">
        <f>ROUNDUP(E1607*Controls!$B$4,4)</f>
        <v/>
      </c>
      <c r="G1607" s="12">
        <f>F1607/E1607</f>
        <v/>
      </c>
      <c r="H1607" s="10">
        <f>(A1607-B1607-(D1607-1))/(A1607-(D1607-1))</f>
        <v/>
      </c>
      <c r="I1607" s="9">
        <f>A1607&amp;'x'&amp;B1607</f>
        <v/>
      </c>
      <c r="J1607" s="9">
        <f>IF(AND(G1607&gt;0.9,G1607&lt;1),"OK","CHECK")</f>
        <v/>
      </c>
    </row>
    <row r="1608">
      <c r="A1608" s="9" t="n">
        <v>49</v>
      </c>
      <c r="B1608" s="9" t="n">
        <v>13</v>
      </c>
      <c r="C1608" s="9" t="n">
        <v>36</v>
      </c>
      <c r="D1608" s="9" t="n">
        <v>9</v>
      </c>
      <c r="E1608" s="10">
        <f>COMBIN(A1608,D1608)/COMBIN(A1608-B1608,D1608)</f>
        <v/>
      </c>
      <c r="F1608" s="11">
        <f>ROUNDUP(E1608*Controls!$B$4,4)</f>
        <v/>
      </c>
      <c r="G1608" s="12">
        <f>F1608/E1608</f>
        <v/>
      </c>
      <c r="H1608" s="10">
        <f>(A1608-B1608-(D1608-1))/(A1608-(D1608-1))</f>
        <v/>
      </c>
      <c r="I1608" s="9">
        <f>A1608&amp;'x'&amp;B1608</f>
        <v/>
      </c>
      <c r="J1608" s="9">
        <f>IF(AND(G1608&gt;0.9,G1608&lt;1),"OK","CHECK")</f>
        <v/>
      </c>
    </row>
    <row r="1609">
      <c r="A1609" s="9" t="n">
        <v>49</v>
      </c>
      <c r="B1609" s="9" t="n">
        <v>13</v>
      </c>
      <c r="C1609" s="9" t="n">
        <v>36</v>
      </c>
      <c r="D1609" s="9" t="n">
        <v>10</v>
      </c>
      <c r="E1609" s="10">
        <f>COMBIN(A1609,D1609)/COMBIN(A1609-B1609,D1609)</f>
        <v/>
      </c>
      <c r="F1609" s="11">
        <f>ROUNDUP(E1609*Controls!$B$4,4)</f>
        <v/>
      </c>
      <c r="G1609" s="12">
        <f>F1609/E1609</f>
        <v/>
      </c>
      <c r="H1609" s="10">
        <f>(A1609-B1609-(D1609-1))/(A1609-(D1609-1))</f>
        <v/>
      </c>
      <c r="I1609" s="9">
        <f>A1609&amp;'x'&amp;B1609</f>
        <v/>
      </c>
      <c r="J1609" s="9">
        <f>IF(AND(G1609&gt;0.9,G1609&lt;1),"OK","CHECK")</f>
        <v/>
      </c>
    </row>
    <row r="1610">
      <c r="A1610" s="9" t="n">
        <v>49</v>
      </c>
      <c r="B1610" s="9" t="n">
        <v>13</v>
      </c>
      <c r="C1610" s="9" t="n">
        <v>36</v>
      </c>
      <c r="D1610" s="9" t="n">
        <v>11</v>
      </c>
      <c r="E1610" s="10">
        <f>COMBIN(A1610,D1610)/COMBIN(A1610-B1610,D1610)</f>
        <v/>
      </c>
      <c r="F1610" s="11">
        <f>ROUNDUP(E1610*Controls!$B$4,4)</f>
        <v/>
      </c>
      <c r="G1610" s="12">
        <f>F1610/E1610</f>
        <v/>
      </c>
      <c r="H1610" s="10">
        <f>(A1610-B1610-(D1610-1))/(A1610-(D1610-1))</f>
        <v/>
      </c>
      <c r="I1610" s="9">
        <f>A1610&amp;'x'&amp;B1610</f>
        <v/>
      </c>
      <c r="J1610" s="9">
        <f>IF(AND(G1610&gt;0.9,G1610&lt;1),"OK","CHECK")</f>
        <v/>
      </c>
    </row>
    <row r="1611">
      <c r="A1611" s="9" t="n">
        <v>49</v>
      </c>
      <c r="B1611" s="9" t="n">
        <v>13</v>
      </c>
      <c r="C1611" s="9" t="n">
        <v>36</v>
      </c>
      <c r="D1611" s="9" t="n">
        <v>12</v>
      </c>
      <c r="E1611" s="10">
        <f>COMBIN(A1611,D1611)/COMBIN(A1611-B1611,D1611)</f>
        <v/>
      </c>
      <c r="F1611" s="11">
        <f>ROUNDUP(E1611*Controls!$B$4,4)</f>
        <v/>
      </c>
      <c r="G1611" s="12">
        <f>F1611/E1611</f>
        <v/>
      </c>
      <c r="H1611" s="10">
        <f>(A1611-B1611-(D1611-1))/(A1611-(D1611-1))</f>
        <v/>
      </c>
      <c r="I1611" s="9">
        <f>A1611&amp;'x'&amp;B1611</f>
        <v/>
      </c>
      <c r="J1611" s="9">
        <f>IF(AND(G1611&gt;0.9,G1611&lt;1),"OK","CHECK")</f>
        <v/>
      </c>
    </row>
    <row r="1612">
      <c r="A1612" s="9" t="n">
        <v>49</v>
      </c>
      <c r="B1612" s="9" t="n">
        <v>13</v>
      </c>
      <c r="C1612" s="9" t="n">
        <v>36</v>
      </c>
      <c r="D1612" s="9" t="n">
        <v>13</v>
      </c>
      <c r="E1612" s="10">
        <f>COMBIN(A1612,D1612)/COMBIN(A1612-B1612,D1612)</f>
        <v/>
      </c>
      <c r="F1612" s="11">
        <f>ROUNDUP(E1612*Controls!$B$4,4)</f>
        <v/>
      </c>
      <c r="G1612" s="12">
        <f>F1612/E1612</f>
        <v/>
      </c>
      <c r="H1612" s="10">
        <f>(A1612-B1612-(D1612-1))/(A1612-(D1612-1))</f>
        <v/>
      </c>
      <c r="I1612" s="9">
        <f>A1612&amp;'x'&amp;B1612</f>
        <v/>
      </c>
      <c r="J1612" s="9">
        <f>IF(AND(G1612&gt;0.9,G1612&lt;1),"OK","CHECK")</f>
        <v/>
      </c>
    </row>
    <row r="1613">
      <c r="A1613" s="9" t="n">
        <v>49</v>
      </c>
      <c r="B1613" s="9" t="n">
        <v>13</v>
      </c>
      <c r="C1613" s="9" t="n">
        <v>36</v>
      </c>
      <c r="D1613" s="9" t="n">
        <v>14</v>
      </c>
      <c r="E1613" s="10">
        <f>COMBIN(A1613,D1613)/COMBIN(A1613-B1613,D1613)</f>
        <v/>
      </c>
      <c r="F1613" s="11">
        <f>ROUNDUP(E1613*Controls!$B$4,4)</f>
        <v/>
      </c>
      <c r="G1613" s="12">
        <f>F1613/E1613</f>
        <v/>
      </c>
      <c r="H1613" s="10">
        <f>(A1613-B1613-(D1613-1))/(A1613-(D1613-1))</f>
        <v/>
      </c>
      <c r="I1613" s="9">
        <f>A1613&amp;'x'&amp;B1613</f>
        <v/>
      </c>
      <c r="J1613" s="9">
        <f>IF(AND(G1613&gt;0.9,G1613&lt;1),"OK","CHECK")</f>
        <v/>
      </c>
    </row>
    <row r="1614">
      <c r="A1614" s="9" t="n">
        <v>49</v>
      </c>
      <c r="B1614" s="9" t="n">
        <v>13</v>
      </c>
      <c r="C1614" s="9" t="n">
        <v>36</v>
      </c>
      <c r="D1614" s="9" t="n">
        <v>15</v>
      </c>
      <c r="E1614" s="10">
        <f>COMBIN(A1614,D1614)/COMBIN(A1614-B1614,D1614)</f>
        <v/>
      </c>
      <c r="F1614" s="11">
        <f>ROUNDUP(E1614*Controls!$B$4,4)</f>
        <v/>
      </c>
      <c r="G1614" s="12">
        <f>F1614/E1614</f>
        <v/>
      </c>
      <c r="H1614" s="10">
        <f>(A1614-B1614-(D1614-1))/(A1614-(D1614-1))</f>
        <v/>
      </c>
      <c r="I1614" s="9">
        <f>A1614&amp;'x'&amp;B1614</f>
        <v/>
      </c>
      <c r="J1614" s="9">
        <f>IF(AND(G1614&gt;0.9,G1614&lt;1),"OK","CHECK")</f>
        <v/>
      </c>
    </row>
    <row r="1615">
      <c r="A1615" s="9" t="n">
        <v>49</v>
      </c>
      <c r="B1615" s="9" t="n">
        <v>13</v>
      </c>
      <c r="C1615" s="9" t="n">
        <v>36</v>
      </c>
      <c r="D1615" s="9" t="n">
        <v>16</v>
      </c>
      <c r="E1615" s="10">
        <f>COMBIN(A1615,D1615)/COMBIN(A1615-B1615,D1615)</f>
        <v/>
      </c>
      <c r="F1615" s="11">
        <f>ROUNDUP(E1615*Controls!$B$4,4)</f>
        <v/>
      </c>
      <c r="G1615" s="12">
        <f>F1615/E1615</f>
        <v/>
      </c>
      <c r="H1615" s="10">
        <f>(A1615-B1615-(D1615-1))/(A1615-(D1615-1))</f>
        <v/>
      </c>
      <c r="I1615" s="9">
        <f>A1615&amp;'x'&amp;B1615</f>
        <v/>
      </c>
      <c r="J1615" s="9">
        <f>IF(AND(G1615&gt;0.9,G1615&lt;1),"OK","CHECK")</f>
        <v/>
      </c>
    </row>
    <row r="1616">
      <c r="A1616" s="9" t="n">
        <v>49</v>
      </c>
      <c r="B1616" s="9" t="n">
        <v>13</v>
      </c>
      <c r="C1616" s="9" t="n">
        <v>36</v>
      </c>
      <c r="D1616" s="9" t="n">
        <v>17</v>
      </c>
      <c r="E1616" s="10">
        <f>COMBIN(A1616,D1616)/COMBIN(A1616-B1616,D1616)</f>
        <v/>
      </c>
      <c r="F1616" s="11">
        <f>ROUNDUP(E1616*Controls!$B$4,4)</f>
        <v/>
      </c>
      <c r="G1616" s="12">
        <f>F1616/E1616</f>
        <v/>
      </c>
      <c r="H1616" s="10">
        <f>(A1616-B1616-(D1616-1))/(A1616-(D1616-1))</f>
        <v/>
      </c>
      <c r="I1616" s="9">
        <f>A1616&amp;'x'&amp;B1616</f>
        <v/>
      </c>
      <c r="J1616" s="9">
        <f>IF(AND(G1616&gt;0.9,G1616&lt;1),"OK","CHECK")</f>
        <v/>
      </c>
    </row>
    <row r="1617">
      <c r="A1617" s="9" t="n">
        <v>49</v>
      </c>
      <c r="B1617" s="9" t="n">
        <v>13</v>
      </c>
      <c r="C1617" s="9" t="n">
        <v>36</v>
      </c>
      <c r="D1617" s="9" t="n">
        <v>18</v>
      </c>
      <c r="E1617" s="10">
        <f>COMBIN(A1617,D1617)/COMBIN(A1617-B1617,D1617)</f>
        <v/>
      </c>
      <c r="F1617" s="11">
        <f>ROUNDUP(E1617*Controls!$B$4,4)</f>
        <v/>
      </c>
      <c r="G1617" s="12">
        <f>F1617/E1617</f>
        <v/>
      </c>
      <c r="H1617" s="10">
        <f>(A1617-B1617-(D1617-1))/(A1617-(D1617-1))</f>
        <v/>
      </c>
      <c r="I1617" s="9">
        <f>A1617&amp;'x'&amp;B1617</f>
        <v/>
      </c>
      <c r="J1617" s="9">
        <f>IF(AND(G1617&gt;0.9,G1617&lt;1),"OK","CHECK")</f>
        <v/>
      </c>
    </row>
    <row r="1618">
      <c r="A1618" s="9" t="n">
        <v>49</v>
      </c>
      <c r="B1618" s="9" t="n">
        <v>13</v>
      </c>
      <c r="C1618" s="9" t="n">
        <v>36</v>
      </c>
      <c r="D1618" s="9" t="n">
        <v>19</v>
      </c>
      <c r="E1618" s="10">
        <f>COMBIN(A1618,D1618)/COMBIN(A1618-B1618,D1618)</f>
        <v/>
      </c>
      <c r="F1618" s="11">
        <f>ROUNDUP(E1618*Controls!$B$4,4)</f>
        <v/>
      </c>
      <c r="G1618" s="12">
        <f>F1618/E1618</f>
        <v/>
      </c>
      <c r="H1618" s="10">
        <f>(A1618-B1618-(D1618-1))/(A1618-(D1618-1))</f>
        <v/>
      </c>
      <c r="I1618" s="9">
        <f>A1618&amp;'x'&amp;B1618</f>
        <v/>
      </c>
      <c r="J1618" s="9">
        <f>IF(AND(G1618&gt;0.9,G1618&lt;1),"OK","CHECK")</f>
        <v/>
      </c>
    </row>
    <row r="1619">
      <c r="A1619" s="9" t="n">
        <v>49</v>
      </c>
      <c r="B1619" s="9" t="n">
        <v>13</v>
      </c>
      <c r="C1619" s="9" t="n">
        <v>36</v>
      </c>
      <c r="D1619" s="9" t="n">
        <v>20</v>
      </c>
      <c r="E1619" s="10">
        <f>COMBIN(A1619,D1619)/COMBIN(A1619-B1619,D1619)</f>
        <v/>
      </c>
      <c r="F1619" s="11">
        <f>ROUNDUP(E1619*Controls!$B$4,4)</f>
        <v/>
      </c>
      <c r="G1619" s="12">
        <f>F1619/E1619</f>
        <v/>
      </c>
      <c r="H1619" s="10">
        <f>(A1619-B1619-(D1619-1))/(A1619-(D1619-1))</f>
        <v/>
      </c>
      <c r="I1619" s="9">
        <f>A1619&amp;'x'&amp;B1619</f>
        <v/>
      </c>
      <c r="J1619" s="9">
        <f>IF(AND(G1619&gt;0.9,G1619&lt;1),"OK","CHECK")</f>
        <v/>
      </c>
    </row>
    <row r="1620">
      <c r="A1620" s="9" t="n">
        <v>49</v>
      </c>
      <c r="B1620" s="9" t="n">
        <v>13</v>
      </c>
      <c r="C1620" s="9" t="n">
        <v>36</v>
      </c>
      <c r="D1620" s="9" t="n">
        <v>21</v>
      </c>
      <c r="E1620" s="10">
        <f>COMBIN(A1620,D1620)/COMBIN(A1620-B1620,D1620)</f>
        <v/>
      </c>
      <c r="F1620" s="11">
        <f>ROUNDUP(E1620*Controls!$B$4,4)</f>
        <v/>
      </c>
      <c r="G1620" s="12">
        <f>F1620/E1620</f>
        <v/>
      </c>
      <c r="H1620" s="10">
        <f>(A1620-B1620-(D1620-1))/(A1620-(D1620-1))</f>
        <v/>
      </c>
      <c r="I1620" s="9">
        <f>A1620&amp;'x'&amp;B1620</f>
        <v/>
      </c>
      <c r="J1620" s="9">
        <f>IF(AND(G1620&gt;0.9,G1620&lt;1),"OK","CHECK")</f>
        <v/>
      </c>
    </row>
    <row r="1621">
      <c r="A1621" s="9" t="n">
        <v>49</v>
      </c>
      <c r="B1621" s="9" t="n">
        <v>13</v>
      </c>
      <c r="C1621" s="9" t="n">
        <v>36</v>
      </c>
      <c r="D1621" s="9" t="n">
        <v>22</v>
      </c>
      <c r="E1621" s="10">
        <f>COMBIN(A1621,D1621)/COMBIN(A1621-B1621,D1621)</f>
        <v/>
      </c>
      <c r="F1621" s="11">
        <f>ROUNDUP(E1621*Controls!$B$4,4)</f>
        <v/>
      </c>
      <c r="G1621" s="12">
        <f>F1621/E1621</f>
        <v/>
      </c>
      <c r="H1621" s="10">
        <f>(A1621-B1621-(D1621-1))/(A1621-(D1621-1))</f>
        <v/>
      </c>
      <c r="I1621" s="9">
        <f>A1621&amp;'x'&amp;B1621</f>
        <v/>
      </c>
      <c r="J1621" s="9">
        <f>IF(AND(G1621&gt;0.9,G1621&lt;1),"OK","CHECK")</f>
        <v/>
      </c>
    </row>
    <row r="1622">
      <c r="A1622" s="9" t="n">
        <v>49</v>
      </c>
      <c r="B1622" s="9" t="n">
        <v>13</v>
      </c>
      <c r="C1622" s="9" t="n">
        <v>36</v>
      </c>
      <c r="D1622" s="9" t="n">
        <v>23</v>
      </c>
      <c r="E1622" s="10">
        <f>COMBIN(A1622,D1622)/COMBIN(A1622-B1622,D1622)</f>
        <v/>
      </c>
      <c r="F1622" s="11">
        <f>ROUNDUP(E1622*Controls!$B$4,4)</f>
        <v/>
      </c>
      <c r="G1622" s="12">
        <f>F1622/E1622</f>
        <v/>
      </c>
      <c r="H1622" s="10">
        <f>(A1622-B1622-(D1622-1))/(A1622-(D1622-1))</f>
        <v/>
      </c>
      <c r="I1622" s="9">
        <f>A1622&amp;'x'&amp;B1622</f>
        <v/>
      </c>
      <c r="J1622" s="9">
        <f>IF(AND(G1622&gt;0.9,G1622&lt;1),"OK","CHECK")</f>
        <v/>
      </c>
    </row>
    <row r="1623">
      <c r="A1623" s="9" t="n">
        <v>49</v>
      </c>
      <c r="B1623" s="9" t="n">
        <v>13</v>
      </c>
      <c r="C1623" s="9" t="n">
        <v>36</v>
      </c>
      <c r="D1623" s="9" t="n">
        <v>24</v>
      </c>
      <c r="E1623" s="10">
        <f>COMBIN(A1623,D1623)/COMBIN(A1623-B1623,D1623)</f>
        <v/>
      </c>
      <c r="F1623" s="11">
        <f>ROUNDUP(E1623*Controls!$B$4,4)</f>
        <v/>
      </c>
      <c r="G1623" s="12">
        <f>F1623/E1623</f>
        <v/>
      </c>
      <c r="H1623" s="10">
        <f>(A1623-B1623-(D1623-1))/(A1623-(D1623-1))</f>
        <v/>
      </c>
      <c r="I1623" s="9">
        <f>A1623&amp;'x'&amp;B1623</f>
        <v/>
      </c>
      <c r="J1623" s="9">
        <f>IF(AND(G1623&gt;0.9,G1623&lt;1),"OK","CHECK")</f>
        <v/>
      </c>
    </row>
    <row r="1624">
      <c r="A1624" s="9" t="n">
        <v>49</v>
      </c>
      <c r="B1624" s="9" t="n">
        <v>13</v>
      </c>
      <c r="C1624" s="9" t="n">
        <v>36</v>
      </c>
      <c r="D1624" s="9" t="n">
        <v>25</v>
      </c>
      <c r="E1624" s="10">
        <f>COMBIN(A1624,D1624)/COMBIN(A1624-B1624,D1624)</f>
        <v/>
      </c>
      <c r="F1624" s="11">
        <f>ROUNDUP(E1624*Controls!$B$4,4)</f>
        <v/>
      </c>
      <c r="G1624" s="12">
        <f>F1624/E1624</f>
        <v/>
      </c>
      <c r="H1624" s="10">
        <f>(A1624-B1624-(D1624-1))/(A1624-(D1624-1))</f>
        <v/>
      </c>
      <c r="I1624" s="9">
        <f>A1624&amp;'x'&amp;B1624</f>
        <v/>
      </c>
      <c r="J1624" s="9">
        <f>IF(AND(G1624&gt;0.9,G1624&lt;1),"OK","CHECK")</f>
        <v/>
      </c>
    </row>
    <row r="1625">
      <c r="A1625" s="9" t="n">
        <v>49</v>
      </c>
      <c r="B1625" s="9" t="n">
        <v>13</v>
      </c>
      <c r="C1625" s="9" t="n">
        <v>36</v>
      </c>
      <c r="D1625" s="9" t="n">
        <v>26</v>
      </c>
      <c r="E1625" s="10">
        <f>COMBIN(A1625,D1625)/COMBIN(A1625-B1625,D1625)</f>
        <v/>
      </c>
      <c r="F1625" s="11">
        <f>ROUNDUP(E1625*Controls!$B$4,4)</f>
        <v/>
      </c>
      <c r="G1625" s="12">
        <f>F1625/E1625</f>
        <v/>
      </c>
      <c r="H1625" s="10">
        <f>(A1625-B1625-(D1625-1))/(A1625-(D1625-1))</f>
        <v/>
      </c>
      <c r="I1625" s="9">
        <f>A1625&amp;'x'&amp;B1625</f>
        <v/>
      </c>
      <c r="J1625" s="9">
        <f>IF(AND(G1625&gt;0.9,G1625&lt;1),"OK","CHECK")</f>
        <v/>
      </c>
    </row>
    <row r="1626">
      <c r="A1626" s="9" t="n">
        <v>49</v>
      </c>
      <c r="B1626" s="9" t="n">
        <v>13</v>
      </c>
      <c r="C1626" s="9" t="n">
        <v>36</v>
      </c>
      <c r="D1626" s="9" t="n">
        <v>27</v>
      </c>
      <c r="E1626" s="10">
        <f>COMBIN(A1626,D1626)/COMBIN(A1626-B1626,D1626)</f>
        <v/>
      </c>
      <c r="F1626" s="11">
        <f>ROUNDUP(E1626*Controls!$B$4,4)</f>
        <v/>
      </c>
      <c r="G1626" s="12">
        <f>F1626/E1626</f>
        <v/>
      </c>
      <c r="H1626" s="10">
        <f>(A1626-B1626-(D1626-1))/(A1626-(D1626-1))</f>
        <v/>
      </c>
      <c r="I1626" s="9">
        <f>A1626&amp;'x'&amp;B1626</f>
        <v/>
      </c>
      <c r="J1626" s="9">
        <f>IF(AND(G1626&gt;0.9,G1626&lt;1),"OK","CHECK")</f>
        <v/>
      </c>
    </row>
    <row r="1627">
      <c r="A1627" s="9" t="n">
        <v>49</v>
      </c>
      <c r="B1627" s="9" t="n">
        <v>13</v>
      </c>
      <c r="C1627" s="9" t="n">
        <v>36</v>
      </c>
      <c r="D1627" s="9" t="n">
        <v>28</v>
      </c>
      <c r="E1627" s="10">
        <f>COMBIN(A1627,D1627)/COMBIN(A1627-B1627,D1627)</f>
        <v/>
      </c>
      <c r="F1627" s="11">
        <f>ROUNDUP(E1627*Controls!$B$4,4)</f>
        <v/>
      </c>
      <c r="G1627" s="12">
        <f>F1627/E1627</f>
        <v/>
      </c>
      <c r="H1627" s="10">
        <f>(A1627-B1627-(D1627-1))/(A1627-(D1627-1))</f>
        <v/>
      </c>
      <c r="I1627" s="9">
        <f>A1627&amp;'x'&amp;B1627</f>
        <v/>
      </c>
      <c r="J1627" s="9">
        <f>IF(AND(G1627&gt;0.9,G1627&lt;1),"OK","CHECK")</f>
        <v/>
      </c>
    </row>
    <row r="1628">
      <c r="A1628" s="9" t="n">
        <v>49</v>
      </c>
      <c r="B1628" s="9" t="n">
        <v>13</v>
      </c>
      <c r="C1628" s="9" t="n">
        <v>36</v>
      </c>
      <c r="D1628" s="9" t="n">
        <v>29</v>
      </c>
      <c r="E1628" s="10">
        <f>COMBIN(A1628,D1628)/COMBIN(A1628-B1628,D1628)</f>
        <v/>
      </c>
      <c r="F1628" s="11">
        <f>ROUNDUP(E1628*Controls!$B$4,4)</f>
        <v/>
      </c>
      <c r="G1628" s="12">
        <f>F1628/E1628</f>
        <v/>
      </c>
      <c r="H1628" s="10">
        <f>(A1628-B1628-(D1628-1))/(A1628-(D1628-1))</f>
        <v/>
      </c>
      <c r="I1628" s="9">
        <f>A1628&amp;'x'&amp;B1628</f>
        <v/>
      </c>
      <c r="J1628" s="9">
        <f>IF(AND(G1628&gt;0.9,G1628&lt;1),"OK","CHECK")</f>
        <v/>
      </c>
    </row>
    <row r="1629">
      <c r="A1629" s="9" t="n">
        <v>49</v>
      </c>
      <c r="B1629" s="9" t="n">
        <v>13</v>
      </c>
      <c r="C1629" s="9" t="n">
        <v>36</v>
      </c>
      <c r="D1629" s="9" t="n">
        <v>30</v>
      </c>
      <c r="E1629" s="10">
        <f>COMBIN(A1629,D1629)/COMBIN(A1629-B1629,D1629)</f>
        <v/>
      </c>
      <c r="F1629" s="11">
        <f>ROUNDUP(E1629*Controls!$B$4,4)</f>
        <v/>
      </c>
      <c r="G1629" s="12">
        <f>F1629/E1629</f>
        <v/>
      </c>
      <c r="H1629" s="10">
        <f>(A1629-B1629-(D1629-1))/(A1629-(D1629-1))</f>
        <v/>
      </c>
      <c r="I1629" s="9">
        <f>A1629&amp;'x'&amp;B1629</f>
        <v/>
      </c>
      <c r="J1629" s="9">
        <f>IF(AND(G1629&gt;0.9,G1629&lt;1),"OK","CHECK")</f>
        <v/>
      </c>
    </row>
    <row r="1630">
      <c r="A1630" s="9" t="n">
        <v>49</v>
      </c>
      <c r="B1630" s="9" t="n">
        <v>13</v>
      </c>
      <c r="C1630" s="9" t="n">
        <v>36</v>
      </c>
      <c r="D1630" s="9" t="n">
        <v>31</v>
      </c>
      <c r="E1630" s="10">
        <f>COMBIN(A1630,D1630)/COMBIN(A1630-B1630,D1630)</f>
        <v/>
      </c>
      <c r="F1630" s="11">
        <f>ROUNDUP(E1630*Controls!$B$4,4)</f>
        <v/>
      </c>
      <c r="G1630" s="12">
        <f>F1630/E1630</f>
        <v/>
      </c>
      <c r="H1630" s="10">
        <f>(A1630-B1630-(D1630-1))/(A1630-(D1630-1))</f>
        <v/>
      </c>
      <c r="I1630" s="9">
        <f>A1630&amp;'x'&amp;B1630</f>
        <v/>
      </c>
      <c r="J1630" s="9">
        <f>IF(AND(G1630&gt;0.9,G1630&lt;1),"OK","CHECK")</f>
        <v/>
      </c>
    </row>
    <row r="1631">
      <c r="A1631" s="9" t="n">
        <v>49</v>
      </c>
      <c r="B1631" s="9" t="n">
        <v>13</v>
      </c>
      <c r="C1631" s="9" t="n">
        <v>36</v>
      </c>
      <c r="D1631" s="9" t="n">
        <v>32</v>
      </c>
      <c r="E1631" s="10">
        <f>COMBIN(A1631,D1631)/COMBIN(A1631-B1631,D1631)</f>
        <v/>
      </c>
      <c r="F1631" s="11">
        <f>ROUNDUP(E1631*Controls!$B$4,4)</f>
        <v/>
      </c>
      <c r="G1631" s="12">
        <f>F1631/E1631</f>
        <v/>
      </c>
      <c r="H1631" s="10">
        <f>(A1631-B1631-(D1631-1))/(A1631-(D1631-1))</f>
        <v/>
      </c>
      <c r="I1631" s="9">
        <f>A1631&amp;'x'&amp;B1631</f>
        <v/>
      </c>
      <c r="J1631" s="9">
        <f>IF(AND(G1631&gt;0.9,G1631&lt;1),"OK","CHECK")</f>
        <v/>
      </c>
    </row>
    <row r="1632">
      <c r="A1632" s="9" t="n">
        <v>49</v>
      </c>
      <c r="B1632" s="9" t="n">
        <v>13</v>
      </c>
      <c r="C1632" s="9" t="n">
        <v>36</v>
      </c>
      <c r="D1632" s="9" t="n">
        <v>33</v>
      </c>
      <c r="E1632" s="10">
        <f>COMBIN(A1632,D1632)/COMBIN(A1632-B1632,D1632)</f>
        <v/>
      </c>
      <c r="F1632" s="11">
        <f>ROUNDUP(E1632*Controls!$B$4,4)</f>
        <v/>
      </c>
      <c r="G1632" s="12">
        <f>F1632/E1632</f>
        <v/>
      </c>
      <c r="H1632" s="10">
        <f>(A1632-B1632-(D1632-1))/(A1632-(D1632-1))</f>
        <v/>
      </c>
      <c r="I1632" s="9">
        <f>A1632&amp;'x'&amp;B1632</f>
        <v/>
      </c>
      <c r="J1632" s="9">
        <f>IF(AND(G1632&gt;0.9,G1632&lt;1),"OK","CHECK")</f>
        <v/>
      </c>
    </row>
    <row r="1633">
      <c r="A1633" s="9" t="n">
        <v>49</v>
      </c>
      <c r="B1633" s="9" t="n">
        <v>13</v>
      </c>
      <c r="C1633" s="9" t="n">
        <v>36</v>
      </c>
      <c r="D1633" s="9" t="n">
        <v>34</v>
      </c>
      <c r="E1633" s="10">
        <f>COMBIN(A1633,D1633)/COMBIN(A1633-B1633,D1633)</f>
        <v/>
      </c>
      <c r="F1633" s="11">
        <f>ROUNDUP(E1633*Controls!$B$4,4)</f>
        <v/>
      </c>
      <c r="G1633" s="12">
        <f>F1633/E1633</f>
        <v/>
      </c>
      <c r="H1633" s="10">
        <f>(A1633-B1633-(D1633-1))/(A1633-(D1633-1))</f>
        <v/>
      </c>
      <c r="I1633" s="9">
        <f>A1633&amp;'x'&amp;B1633</f>
        <v/>
      </c>
      <c r="J1633" s="9">
        <f>IF(AND(G1633&gt;0.9,G1633&lt;1),"OK","CHECK")</f>
        <v/>
      </c>
    </row>
    <row r="1634">
      <c r="A1634" s="9" t="n">
        <v>49</v>
      </c>
      <c r="B1634" s="9" t="n">
        <v>13</v>
      </c>
      <c r="C1634" s="9" t="n">
        <v>36</v>
      </c>
      <c r="D1634" s="9" t="n">
        <v>35</v>
      </c>
      <c r="E1634" s="10">
        <f>COMBIN(A1634,D1634)/COMBIN(A1634-B1634,D1634)</f>
        <v/>
      </c>
      <c r="F1634" s="11">
        <f>ROUNDUP(E1634*Controls!$B$4,4)</f>
        <v/>
      </c>
      <c r="G1634" s="12">
        <f>F1634/E1634</f>
        <v/>
      </c>
      <c r="H1634" s="10">
        <f>(A1634-B1634-(D1634-1))/(A1634-(D1634-1))</f>
        <v/>
      </c>
      <c r="I1634" s="9">
        <f>A1634&amp;'x'&amp;B1634</f>
        <v/>
      </c>
      <c r="J1634" s="9">
        <f>IF(AND(G1634&gt;0.9,G1634&lt;1),"OK","CHECK")</f>
        <v/>
      </c>
    </row>
    <row r="1635">
      <c r="A1635" s="9" t="n">
        <v>49</v>
      </c>
      <c r="B1635" s="9" t="n">
        <v>13</v>
      </c>
      <c r="C1635" s="9" t="n">
        <v>36</v>
      </c>
      <c r="D1635" s="9" t="n">
        <v>36</v>
      </c>
      <c r="E1635" s="10">
        <f>COMBIN(A1635,D1635)/COMBIN(A1635-B1635,D1635)</f>
        <v/>
      </c>
      <c r="F1635" s="11">
        <f>ROUNDUP(E1635*Controls!$B$4,4)</f>
        <v/>
      </c>
      <c r="G1635" s="12">
        <f>F1635/E1635</f>
        <v/>
      </c>
      <c r="H1635" s="10">
        <f>(A1635-B1635-(D1635-1))/(A1635-(D1635-1))</f>
        <v/>
      </c>
      <c r="I1635" s="9">
        <f>A1635&amp;'x'&amp;B1635</f>
        <v/>
      </c>
      <c r="J1635" s="9">
        <f>IF(AND(G1635&gt;0.9,G1635&lt;1),"OK","CHECK")</f>
        <v/>
      </c>
    </row>
    <row r="1636">
      <c r="A1636" s="9" t="n">
        <v>49</v>
      </c>
      <c r="B1636" s="9" t="n">
        <v>14</v>
      </c>
      <c r="C1636" s="9" t="n">
        <v>35</v>
      </c>
      <c r="D1636" s="9" t="n">
        <v>1</v>
      </c>
      <c r="E1636" s="10">
        <f>COMBIN(A1636,D1636)/COMBIN(A1636-B1636,D1636)</f>
        <v/>
      </c>
      <c r="F1636" s="11">
        <f>ROUNDUP(E1636*Controls!$B$4,4)</f>
        <v/>
      </c>
      <c r="G1636" s="12">
        <f>F1636/E1636</f>
        <v/>
      </c>
      <c r="H1636" s="10">
        <f>(A1636-B1636-(D1636-1))/(A1636-(D1636-1))</f>
        <v/>
      </c>
      <c r="I1636" s="9">
        <f>A1636&amp;'x'&amp;B1636</f>
        <v/>
      </c>
      <c r="J1636" s="9">
        <f>IF(AND(G1636&gt;0.9,G1636&lt;1),"OK","CHECK")</f>
        <v/>
      </c>
    </row>
    <row r="1637">
      <c r="A1637" s="9" t="n">
        <v>49</v>
      </c>
      <c r="B1637" s="9" t="n">
        <v>14</v>
      </c>
      <c r="C1637" s="9" t="n">
        <v>35</v>
      </c>
      <c r="D1637" s="9" t="n">
        <v>2</v>
      </c>
      <c r="E1637" s="10">
        <f>COMBIN(A1637,D1637)/COMBIN(A1637-B1637,D1637)</f>
        <v/>
      </c>
      <c r="F1637" s="11">
        <f>ROUNDUP(E1637*Controls!$B$4,4)</f>
        <v/>
      </c>
      <c r="G1637" s="12">
        <f>F1637/E1637</f>
        <v/>
      </c>
      <c r="H1637" s="10">
        <f>(A1637-B1637-(D1637-1))/(A1637-(D1637-1))</f>
        <v/>
      </c>
      <c r="I1637" s="9">
        <f>A1637&amp;'x'&amp;B1637</f>
        <v/>
      </c>
      <c r="J1637" s="9">
        <f>IF(AND(G1637&gt;0.9,G1637&lt;1),"OK","CHECK")</f>
        <v/>
      </c>
    </row>
    <row r="1638">
      <c r="A1638" s="9" t="n">
        <v>49</v>
      </c>
      <c r="B1638" s="9" t="n">
        <v>14</v>
      </c>
      <c r="C1638" s="9" t="n">
        <v>35</v>
      </c>
      <c r="D1638" s="9" t="n">
        <v>3</v>
      </c>
      <c r="E1638" s="10">
        <f>COMBIN(A1638,D1638)/COMBIN(A1638-B1638,D1638)</f>
        <v/>
      </c>
      <c r="F1638" s="11">
        <f>ROUNDUP(E1638*Controls!$B$4,4)</f>
        <v/>
      </c>
      <c r="G1638" s="12">
        <f>F1638/E1638</f>
        <v/>
      </c>
      <c r="H1638" s="10">
        <f>(A1638-B1638-(D1638-1))/(A1638-(D1638-1))</f>
        <v/>
      </c>
      <c r="I1638" s="9">
        <f>A1638&amp;'x'&amp;B1638</f>
        <v/>
      </c>
      <c r="J1638" s="9">
        <f>IF(AND(G1638&gt;0.9,G1638&lt;1),"OK","CHECK")</f>
        <v/>
      </c>
    </row>
    <row r="1639">
      <c r="A1639" s="9" t="n">
        <v>49</v>
      </c>
      <c r="B1639" s="9" t="n">
        <v>14</v>
      </c>
      <c r="C1639" s="9" t="n">
        <v>35</v>
      </c>
      <c r="D1639" s="9" t="n">
        <v>4</v>
      </c>
      <c r="E1639" s="10">
        <f>COMBIN(A1639,D1639)/COMBIN(A1639-B1639,D1639)</f>
        <v/>
      </c>
      <c r="F1639" s="11">
        <f>ROUNDUP(E1639*Controls!$B$4,4)</f>
        <v/>
      </c>
      <c r="G1639" s="12">
        <f>F1639/E1639</f>
        <v/>
      </c>
      <c r="H1639" s="10">
        <f>(A1639-B1639-(D1639-1))/(A1639-(D1639-1))</f>
        <v/>
      </c>
      <c r="I1639" s="9">
        <f>A1639&amp;'x'&amp;B1639</f>
        <v/>
      </c>
      <c r="J1639" s="9">
        <f>IF(AND(G1639&gt;0.9,G1639&lt;1),"OK","CHECK")</f>
        <v/>
      </c>
    </row>
    <row r="1640">
      <c r="A1640" s="9" t="n">
        <v>49</v>
      </c>
      <c r="B1640" s="9" t="n">
        <v>14</v>
      </c>
      <c r="C1640" s="9" t="n">
        <v>35</v>
      </c>
      <c r="D1640" s="9" t="n">
        <v>5</v>
      </c>
      <c r="E1640" s="10">
        <f>COMBIN(A1640,D1640)/COMBIN(A1640-B1640,D1640)</f>
        <v/>
      </c>
      <c r="F1640" s="11">
        <f>ROUNDUP(E1640*Controls!$B$4,4)</f>
        <v/>
      </c>
      <c r="G1640" s="12">
        <f>F1640/E1640</f>
        <v/>
      </c>
      <c r="H1640" s="10">
        <f>(A1640-B1640-(D1640-1))/(A1640-(D1640-1))</f>
        <v/>
      </c>
      <c r="I1640" s="9">
        <f>A1640&amp;'x'&amp;B1640</f>
        <v/>
      </c>
      <c r="J1640" s="9">
        <f>IF(AND(G1640&gt;0.9,G1640&lt;1),"OK","CHECK")</f>
        <v/>
      </c>
    </row>
    <row r="1641">
      <c r="A1641" s="9" t="n">
        <v>49</v>
      </c>
      <c r="B1641" s="9" t="n">
        <v>14</v>
      </c>
      <c r="C1641" s="9" t="n">
        <v>35</v>
      </c>
      <c r="D1641" s="9" t="n">
        <v>6</v>
      </c>
      <c r="E1641" s="10">
        <f>COMBIN(A1641,D1641)/COMBIN(A1641-B1641,D1641)</f>
        <v/>
      </c>
      <c r="F1641" s="11">
        <f>ROUNDUP(E1641*Controls!$B$4,4)</f>
        <v/>
      </c>
      <c r="G1641" s="12">
        <f>F1641/E1641</f>
        <v/>
      </c>
      <c r="H1641" s="10">
        <f>(A1641-B1641-(D1641-1))/(A1641-(D1641-1))</f>
        <v/>
      </c>
      <c r="I1641" s="9">
        <f>A1641&amp;'x'&amp;B1641</f>
        <v/>
      </c>
      <c r="J1641" s="9">
        <f>IF(AND(G1641&gt;0.9,G1641&lt;1),"OK","CHECK")</f>
        <v/>
      </c>
    </row>
    <row r="1642">
      <c r="A1642" s="9" t="n">
        <v>49</v>
      </c>
      <c r="B1642" s="9" t="n">
        <v>14</v>
      </c>
      <c r="C1642" s="9" t="n">
        <v>35</v>
      </c>
      <c r="D1642" s="9" t="n">
        <v>7</v>
      </c>
      <c r="E1642" s="10">
        <f>COMBIN(A1642,D1642)/COMBIN(A1642-B1642,D1642)</f>
        <v/>
      </c>
      <c r="F1642" s="11">
        <f>ROUNDUP(E1642*Controls!$B$4,4)</f>
        <v/>
      </c>
      <c r="G1642" s="12">
        <f>F1642/E1642</f>
        <v/>
      </c>
      <c r="H1642" s="10">
        <f>(A1642-B1642-(D1642-1))/(A1642-(D1642-1))</f>
        <v/>
      </c>
      <c r="I1642" s="9">
        <f>A1642&amp;'x'&amp;B1642</f>
        <v/>
      </c>
      <c r="J1642" s="9">
        <f>IF(AND(G1642&gt;0.9,G1642&lt;1),"OK","CHECK")</f>
        <v/>
      </c>
    </row>
    <row r="1643">
      <c r="A1643" s="9" t="n">
        <v>49</v>
      </c>
      <c r="B1643" s="9" t="n">
        <v>14</v>
      </c>
      <c r="C1643" s="9" t="n">
        <v>35</v>
      </c>
      <c r="D1643" s="9" t="n">
        <v>8</v>
      </c>
      <c r="E1643" s="10">
        <f>COMBIN(A1643,D1643)/COMBIN(A1643-B1643,D1643)</f>
        <v/>
      </c>
      <c r="F1643" s="11">
        <f>ROUNDUP(E1643*Controls!$B$4,4)</f>
        <v/>
      </c>
      <c r="G1643" s="12">
        <f>F1643/E1643</f>
        <v/>
      </c>
      <c r="H1643" s="10">
        <f>(A1643-B1643-(D1643-1))/(A1643-(D1643-1))</f>
        <v/>
      </c>
      <c r="I1643" s="9">
        <f>A1643&amp;'x'&amp;B1643</f>
        <v/>
      </c>
      <c r="J1643" s="9">
        <f>IF(AND(G1643&gt;0.9,G1643&lt;1),"OK","CHECK")</f>
        <v/>
      </c>
    </row>
    <row r="1644">
      <c r="A1644" s="9" t="n">
        <v>49</v>
      </c>
      <c r="B1644" s="9" t="n">
        <v>14</v>
      </c>
      <c r="C1644" s="9" t="n">
        <v>35</v>
      </c>
      <c r="D1644" s="9" t="n">
        <v>9</v>
      </c>
      <c r="E1644" s="10">
        <f>COMBIN(A1644,D1644)/COMBIN(A1644-B1644,D1644)</f>
        <v/>
      </c>
      <c r="F1644" s="11">
        <f>ROUNDUP(E1644*Controls!$B$4,4)</f>
        <v/>
      </c>
      <c r="G1644" s="12">
        <f>F1644/E1644</f>
        <v/>
      </c>
      <c r="H1644" s="10">
        <f>(A1644-B1644-(D1644-1))/(A1644-(D1644-1))</f>
        <v/>
      </c>
      <c r="I1644" s="9">
        <f>A1644&amp;'x'&amp;B1644</f>
        <v/>
      </c>
      <c r="J1644" s="9">
        <f>IF(AND(G1644&gt;0.9,G1644&lt;1),"OK","CHECK")</f>
        <v/>
      </c>
    </row>
    <row r="1645">
      <c r="A1645" s="9" t="n">
        <v>49</v>
      </c>
      <c r="B1645" s="9" t="n">
        <v>14</v>
      </c>
      <c r="C1645" s="9" t="n">
        <v>35</v>
      </c>
      <c r="D1645" s="9" t="n">
        <v>10</v>
      </c>
      <c r="E1645" s="10">
        <f>COMBIN(A1645,D1645)/COMBIN(A1645-B1645,D1645)</f>
        <v/>
      </c>
      <c r="F1645" s="11">
        <f>ROUNDUP(E1645*Controls!$B$4,4)</f>
        <v/>
      </c>
      <c r="G1645" s="12">
        <f>F1645/E1645</f>
        <v/>
      </c>
      <c r="H1645" s="10">
        <f>(A1645-B1645-(D1645-1))/(A1645-(D1645-1))</f>
        <v/>
      </c>
      <c r="I1645" s="9">
        <f>A1645&amp;'x'&amp;B1645</f>
        <v/>
      </c>
      <c r="J1645" s="9">
        <f>IF(AND(G1645&gt;0.9,G1645&lt;1),"OK","CHECK")</f>
        <v/>
      </c>
    </row>
    <row r="1646">
      <c r="A1646" s="9" t="n">
        <v>49</v>
      </c>
      <c r="B1646" s="9" t="n">
        <v>14</v>
      </c>
      <c r="C1646" s="9" t="n">
        <v>35</v>
      </c>
      <c r="D1646" s="9" t="n">
        <v>11</v>
      </c>
      <c r="E1646" s="10">
        <f>COMBIN(A1646,D1646)/COMBIN(A1646-B1646,D1646)</f>
        <v/>
      </c>
      <c r="F1646" s="11">
        <f>ROUNDUP(E1646*Controls!$B$4,4)</f>
        <v/>
      </c>
      <c r="G1646" s="12">
        <f>F1646/E1646</f>
        <v/>
      </c>
      <c r="H1646" s="10">
        <f>(A1646-B1646-(D1646-1))/(A1646-(D1646-1))</f>
        <v/>
      </c>
      <c r="I1646" s="9">
        <f>A1646&amp;'x'&amp;B1646</f>
        <v/>
      </c>
      <c r="J1646" s="9">
        <f>IF(AND(G1646&gt;0.9,G1646&lt;1),"OK","CHECK")</f>
        <v/>
      </c>
    </row>
    <row r="1647">
      <c r="A1647" s="9" t="n">
        <v>49</v>
      </c>
      <c r="B1647" s="9" t="n">
        <v>14</v>
      </c>
      <c r="C1647" s="9" t="n">
        <v>35</v>
      </c>
      <c r="D1647" s="9" t="n">
        <v>12</v>
      </c>
      <c r="E1647" s="10">
        <f>COMBIN(A1647,D1647)/COMBIN(A1647-B1647,D1647)</f>
        <v/>
      </c>
      <c r="F1647" s="11">
        <f>ROUNDUP(E1647*Controls!$B$4,4)</f>
        <v/>
      </c>
      <c r="G1647" s="12">
        <f>F1647/E1647</f>
        <v/>
      </c>
      <c r="H1647" s="10">
        <f>(A1647-B1647-(D1647-1))/(A1647-(D1647-1))</f>
        <v/>
      </c>
      <c r="I1647" s="9">
        <f>A1647&amp;'x'&amp;B1647</f>
        <v/>
      </c>
      <c r="J1647" s="9">
        <f>IF(AND(G1647&gt;0.9,G1647&lt;1),"OK","CHECK")</f>
        <v/>
      </c>
    </row>
    <row r="1648">
      <c r="A1648" s="9" t="n">
        <v>49</v>
      </c>
      <c r="B1648" s="9" t="n">
        <v>14</v>
      </c>
      <c r="C1648" s="9" t="n">
        <v>35</v>
      </c>
      <c r="D1648" s="9" t="n">
        <v>13</v>
      </c>
      <c r="E1648" s="10">
        <f>COMBIN(A1648,D1648)/COMBIN(A1648-B1648,D1648)</f>
        <v/>
      </c>
      <c r="F1648" s="11">
        <f>ROUNDUP(E1648*Controls!$B$4,4)</f>
        <v/>
      </c>
      <c r="G1648" s="12">
        <f>F1648/E1648</f>
        <v/>
      </c>
      <c r="H1648" s="10">
        <f>(A1648-B1648-(D1648-1))/(A1648-(D1648-1))</f>
        <v/>
      </c>
      <c r="I1648" s="9">
        <f>A1648&amp;'x'&amp;B1648</f>
        <v/>
      </c>
      <c r="J1648" s="9">
        <f>IF(AND(G1648&gt;0.9,G1648&lt;1),"OK","CHECK")</f>
        <v/>
      </c>
    </row>
    <row r="1649">
      <c r="A1649" s="9" t="n">
        <v>49</v>
      </c>
      <c r="B1649" s="9" t="n">
        <v>14</v>
      </c>
      <c r="C1649" s="9" t="n">
        <v>35</v>
      </c>
      <c r="D1649" s="9" t="n">
        <v>14</v>
      </c>
      <c r="E1649" s="10">
        <f>COMBIN(A1649,D1649)/COMBIN(A1649-B1649,D1649)</f>
        <v/>
      </c>
      <c r="F1649" s="11">
        <f>ROUNDUP(E1649*Controls!$B$4,4)</f>
        <v/>
      </c>
      <c r="G1649" s="12">
        <f>F1649/E1649</f>
        <v/>
      </c>
      <c r="H1649" s="10">
        <f>(A1649-B1649-(D1649-1))/(A1649-(D1649-1))</f>
        <v/>
      </c>
      <c r="I1649" s="9">
        <f>A1649&amp;'x'&amp;B1649</f>
        <v/>
      </c>
      <c r="J1649" s="9">
        <f>IF(AND(G1649&gt;0.9,G1649&lt;1),"OK","CHECK")</f>
        <v/>
      </c>
    </row>
    <row r="1650">
      <c r="A1650" s="9" t="n">
        <v>49</v>
      </c>
      <c r="B1650" s="9" t="n">
        <v>14</v>
      </c>
      <c r="C1650" s="9" t="n">
        <v>35</v>
      </c>
      <c r="D1650" s="9" t="n">
        <v>15</v>
      </c>
      <c r="E1650" s="10">
        <f>COMBIN(A1650,D1650)/COMBIN(A1650-B1650,D1650)</f>
        <v/>
      </c>
      <c r="F1650" s="11">
        <f>ROUNDUP(E1650*Controls!$B$4,4)</f>
        <v/>
      </c>
      <c r="G1650" s="12">
        <f>F1650/E1650</f>
        <v/>
      </c>
      <c r="H1650" s="10">
        <f>(A1650-B1650-(D1650-1))/(A1650-(D1650-1))</f>
        <v/>
      </c>
      <c r="I1650" s="9">
        <f>A1650&amp;'x'&amp;B1650</f>
        <v/>
      </c>
      <c r="J1650" s="9">
        <f>IF(AND(G1650&gt;0.9,G1650&lt;1),"OK","CHECK")</f>
        <v/>
      </c>
    </row>
    <row r="1651">
      <c r="A1651" s="9" t="n">
        <v>49</v>
      </c>
      <c r="B1651" s="9" t="n">
        <v>14</v>
      </c>
      <c r="C1651" s="9" t="n">
        <v>35</v>
      </c>
      <c r="D1651" s="9" t="n">
        <v>16</v>
      </c>
      <c r="E1651" s="10">
        <f>COMBIN(A1651,D1651)/COMBIN(A1651-B1651,D1651)</f>
        <v/>
      </c>
      <c r="F1651" s="11">
        <f>ROUNDUP(E1651*Controls!$B$4,4)</f>
        <v/>
      </c>
      <c r="G1651" s="12">
        <f>F1651/E1651</f>
        <v/>
      </c>
      <c r="H1651" s="10">
        <f>(A1651-B1651-(D1651-1))/(A1651-(D1651-1))</f>
        <v/>
      </c>
      <c r="I1651" s="9">
        <f>A1651&amp;'x'&amp;B1651</f>
        <v/>
      </c>
      <c r="J1651" s="9">
        <f>IF(AND(G1651&gt;0.9,G1651&lt;1),"OK","CHECK")</f>
        <v/>
      </c>
    </row>
    <row r="1652">
      <c r="A1652" s="9" t="n">
        <v>49</v>
      </c>
      <c r="B1652" s="9" t="n">
        <v>14</v>
      </c>
      <c r="C1652" s="9" t="n">
        <v>35</v>
      </c>
      <c r="D1652" s="9" t="n">
        <v>17</v>
      </c>
      <c r="E1652" s="10">
        <f>COMBIN(A1652,D1652)/COMBIN(A1652-B1652,D1652)</f>
        <v/>
      </c>
      <c r="F1652" s="11">
        <f>ROUNDUP(E1652*Controls!$B$4,4)</f>
        <v/>
      </c>
      <c r="G1652" s="12">
        <f>F1652/E1652</f>
        <v/>
      </c>
      <c r="H1652" s="10">
        <f>(A1652-B1652-(D1652-1))/(A1652-(D1652-1))</f>
        <v/>
      </c>
      <c r="I1652" s="9">
        <f>A1652&amp;'x'&amp;B1652</f>
        <v/>
      </c>
      <c r="J1652" s="9">
        <f>IF(AND(G1652&gt;0.9,G1652&lt;1),"OK","CHECK")</f>
        <v/>
      </c>
    </row>
    <row r="1653">
      <c r="A1653" s="9" t="n">
        <v>49</v>
      </c>
      <c r="B1653" s="9" t="n">
        <v>14</v>
      </c>
      <c r="C1653" s="9" t="n">
        <v>35</v>
      </c>
      <c r="D1653" s="9" t="n">
        <v>18</v>
      </c>
      <c r="E1653" s="10">
        <f>COMBIN(A1653,D1653)/COMBIN(A1653-B1653,D1653)</f>
        <v/>
      </c>
      <c r="F1653" s="11">
        <f>ROUNDUP(E1653*Controls!$B$4,4)</f>
        <v/>
      </c>
      <c r="G1653" s="12">
        <f>F1653/E1653</f>
        <v/>
      </c>
      <c r="H1653" s="10">
        <f>(A1653-B1653-(D1653-1))/(A1653-(D1653-1))</f>
        <v/>
      </c>
      <c r="I1653" s="9">
        <f>A1653&amp;'x'&amp;B1653</f>
        <v/>
      </c>
      <c r="J1653" s="9">
        <f>IF(AND(G1653&gt;0.9,G1653&lt;1),"OK","CHECK")</f>
        <v/>
      </c>
    </row>
    <row r="1654">
      <c r="A1654" s="9" t="n">
        <v>49</v>
      </c>
      <c r="B1654" s="9" t="n">
        <v>14</v>
      </c>
      <c r="C1654" s="9" t="n">
        <v>35</v>
      </c>
      <c r="D1654" s="9" t="n">
        <v>19</v>
      </c>
      <c r="E1654" s="10">
        <f>COMBIN(A1654,D1654)/COMBIN(A1654-B1654,D1654)</f>
        <v/>
      </c>
      <c r="F1654" s="11">
        <f>ROUNDUP(E1654*Controls!$B$4,4)</f>
        <v/>
      </c>
      <c r="G1654" s="12">
        <f>F1654/E1654</f>
        <v/>
      </c>
      <c r="H1654" s="10">
        <f>(A1654-B1654-(D1654-1))/(A1654-(D1654-1))</f>
        <v/>
      </c>
      <c r="I1654" s="9">
        <f>A1654&amp;'x'&amp;B1654</f>
        <v/>
      </c>
      <c r="J1654" s="9">
        <f>IF(AND(G1654&gt;0.9,G1654&lt;1),"OK","CHECK")</f>
        <v/>
      </c>
    </row>
    <row r="1655">
      <c r="A1655" s="9" t="n">
        <v>49</v>
      </c>
      <c r="B1655" s="9" t="n">
        <v>14</v>
      </c>
      <c r="C1655" s="9" t="n">
        <v>35</v>
      </c>
      <c r="D1655" s="9" t="n">
        <v>20</v>
      </c>
      <c r="E1655" s="10">
        <f>COMBIN(A1655,D1655)/COMBIN(A1655-B1655,D1655)</f>
        <v/>
      </c>
      <c r="F1655" s="11">
        <f>ROUNDUP(E1655*Controls!$B$4,4)</f>
        <v/>
      </c>
      <c r="G1655" s="12">
        <f>F1655/E1655</f>
        <v/>
      </c>
      <c r="H1655" s="10">
        <f>(A1655-B1655-(D1655-1))/(A1655-(D1655-1))</f>
        <v/>
      </c>
      <c r="I1655" s="9">
        <f>A1655&amp;'x'&amp;B1655</f>
        <v/>
      </c>
      <c r="J1655" s="9">
        <f>IF(AND(G1655&gt;0.9,G1655&lt;1),"OK","CHECK")</f>
        <v/>
      </c>
    </row>
    <row r="1656">
      <c r="A1656" s="9" t="n">
        <v>49</v>
      </c>
      <c r="B1656" s="9" t="n">
        <v>14</v>
      </c>
      <c r="C1656" s="9" t="n">
        <v>35</v>
      </c>
      <c r="D1656" s="9" t="n">
        <v>21</v>
      </c>
      <c r="E1656" s="10">
        <f>COMBIN(A1656,D1656)/COMBIN(A1656-B1656,D1656)</f>
        <v/>
      </c>
      <c r="F1656" s="11">
        <f>ROUNDUP(E1656*Controls!$B$4,4)</f>
        <v/>
      </c>
      <c r="G1656" s="12">
        <f>F1656/E1656</f>
        <v/>
      </c>
      <c r="H1656" s="10">
        <f>(A1656-B1656-(D1656-1))/(A1656-(D1656-1))</f>
        <v/>
      </c>
      <c r="I1656" s="9">
        <f>A1656&amp;'x'&amp;B1656</f>
        <v/>
      </c>
      <c r="J1656" s="9">
        <f>IF(AND(G1656&gt;0.9,G1656&lt;1),"OK","CHECK")</f>
        <v/>
      </c>
    </row>
    <row r="1657">
      <c r="A1657" s="9" t="n">
        <v>49</v>
      </c>
      <c r="B1657" s="9" t="n">
        <v>14</v>
      </c>
      <c r="C1657" s="9" t="n">
        <v>35</v>
      </c>
      <c r="D1657" s="9" t="n">
        <v>22</v>
      </c>
      <c r="E1657" s="10">
        <f>COMBIN(A1657,D1657)/COMBIN(A1657-B1657,D1657)</f>
        <v/>
      </c>
      <c r="F1657" s="11">
        <f>ROUNDUP(E1657*Controls!$B$4,4)</f>
        <v/>
      </c>
      <c r="G1657" s="12">
        <f>F1657/E1657</f>
        <v/>
      </c>
      <c r="H1657" s="10">
        <f>(A1657-B1657-(D1657-1))/(A1657-(D1657-1))</f>
        <v/>
      </c>
      <c r="I1657" s="9">
        <f>A1657&amp;'x'&amp;B1657</f>
        <v/>
      </c>
      <c r="J1657" s="9">
        <f>IF(AND(G1657&gt;0.9,G1657&lt;1),"OK","CHECK")</f>
        <v/>
      </c>
    </row>
    <row r="1658">
      <c r="A1658" s="9" t="n">
        <v>49</v>
      </c>
      <c r="B1658" s="9" t="n">
        <v>14</v>
      </c>
      <c r="C1658" s="9" t="n">
        <v>35</v>
      </c>
      <c r="D1658" s="9" t="n">
        <v>23</v>
      </c>
      <c r="E1658" s="10">
        <f>COMBIN(A1658,D1658)/COMBIN(A1658-B1658,D1658)</f>
        <v/>
      </c>
      <c r="F1658" s="11">
        <f>ROUNDUP(E1658*Controls!$B$4,4)</f>
        <v/>
      </c>
      <c r="G1658" s="12">
        <f>F1658/E1658</f>
        <v/>
      </c>
      <c r="H1658" s="10">
        <f>(A1658-B1658-(D1658-1))/(A1658-(D1658-1))</f>
        <v/>
      </c>
      <c r="I1658" s="9">
        <f>A1658&amp;'x'&amp;B1658</f>
        <v/>
      </c>
      <c r="J1658" s="9">
        <f>IF(AND(G1658&gt;0.9,G1658&lt;1),"OK","CHECK")</f>
        <v/>
      </c>
    </row>
    <row r="1659">
      <c r="A1659" s="9" t="n">
        <v>49</v>
      </c>
      <c r="B1659" s="9" t="n">
        <v>14</v>
      </c>
      <c r="C1659" s="9" t="n">
        <v>35</v>
      </c>
      <c r="D1659" s="9" t="n">
        <v>24</v>
      </c>
      <c r="E1659" s="10">
        <f>COMBIN(A1659,D1659)/COMBIN(A1659-B1659,D1659)</f>
        <v/>
      </c>
      <c r="F1659" s="11">
        <f>ROUNDUP(E1659*Controls!$B$4,4)</f>
        <v/>
      </c>
      <c r="G1659" s="12">
        <f>F1659/E1659</f>
        <v/>
      </c>
      <c r="H1659" s="10">
        <f>(A1659-B1659-(D1659-1))/(A1659-(D1659-1))</f>
        <v/>
      </c>
      <c r="I1659" s="9">
        <f>A1659&amp;'x'&amp;B1659</f>
        <v/>
      </c>
      <c r="J1659" s="9">
        <f>IF(AND(G1659&gt;0.9,G1659&lt;1),"OK","CHECK")</f>
        <v/>
      </c>
    </row>
    <row r="1660">
      <c r="A1660" s="9" t="n">
        <v>49</v>
      </c>
      <c r="B1660" s="9" t="n">
        <v>14</v>
      </c>
      <c r="C1660" s="9" t="n">
        <v>35</v>
      </c>
      <c r="D1660" s="9" t="n">
        <v>25</v>
      </c>
      <c r="E1660" s="10">
        <f>COMBIN(A1660,D1660)/COMBIN(A1660-B1660,D1660)</f>
        <v/>
      </c>
      <c r="F1660" s="11">
        <f>ROUNDUP(E1660*Controls!$B$4,4)</f>
        <v/>
      </c>
      <c r="G1660" s="12">
        <f>F1660/E1660</f>
        <v/>
      </c>
      <c r="H1660" s="10">
        <f>(A1660-B1660-(D1660-1))/(A1660-(D1660-1))</f>
        <v/>
      </c>
      <c r="I1660" s="9">
        <f>A1660&amp;'x'&amp;B1660</f>
        <v/>
      </c>
      <c r="J1660" s="9">
        <f>IF(AND(G1660&gt;0.9,G1660&lt;1),"OK","CHECK")</f>
        <v/>
      </c>
    </row>
    <row r="1661">
      <c r="A1661" s="9" t="n">
        <v>49</v>
      </c>
      <c r="B1661" s="9" t="n">
        <v>14</v>
      </c>
      <c r="C1661" s="9" t="n">
        <v>35</v>
      </c>
      <c r="D1661" s="9" t="n">
        <v>26</v>
      </c>
      <c r="E1661" s="10">
        <f>COMBIN(A1661,D1661)/COMBIN(A1661-B1661,D1661)</f>
        <v/>
      </c>
      <c r="F1661" s="11">
        <f>ROUNDUP(E1661*Controls!$B$4,4)</f>
        <v/>
      </c>
      <c r="G1661" s="12">
        <f>F1661/E1661</f>
        <v/>
      </c>
      <c r="H1661" s="10">
        <f>(A1661-B1661-(D1661-1))/(A1661-(D1661-1))</f>
        <v/>
      </c>
      <c r="I1661" s="9">
        <f>A1661&amp;'x'&amp;B1661</f>
        <v/>
      </c>
      <c r="J1661" s="9">
        <f>IF(AND(G1661&gt;0.9,G1661&lt;1),"OK","CHECK")</f>
        <v/>
      </c>
    </row>
    <row r="1662">
      <c r="A1662" s="9" t="n">
        <v>49</v>
      </c>
      <c r="B1662" s="9" t="n">
        <v>14</v>
      </c>
      <c r="C1662" s="9" t="n">
        <v>35</v>
      </c>
      <c r="D1662" s="9" t="n">
        <v>27</v>
      </c>
      <c r="E1662" s="10">
        <f>COMBIN(A1662,D1662)/COMBIN(A1662-B1662,D1662)</f>
        <v/>
      </c>
      <c r="F1662" s="11">
        <f>ROUNDUP(E1662*Controls!$B$4,4)</f>
        <v/>
      </c>
      <c r="G1662" s="12">
        <f>F1662/E1662</f>
        <v/>
      </c>
      <c r="H1662" s="10">
        <f>(A1662-B1662-(D1662-1))/(A1662-(D1662-1))</f>
        <v/>
      </c>
      <c r="I1662" s="9">
        <f>A1662&amp;'x'&amp;B1662</f>
        <v/>
      </c>
      <c r="J1662" s="9">
        <f>IF(AND(G1662&gt;0.9,G1662&lt;1),"OK","CHECK")</f>
        <v/>
      </c>
    </row>
    <row r="1663">
      <c r="A1663" s="9" t="n">
        <v>49</v>
      </c>
      <c r="B1663" s="9" t="n">
        <v>14</v>
      </c>
      <c r="C1663" s="9" t="n">
        <v>35</v>
      </c>
      <c r="D1663" s="9" t="n">
        <v>28</v>
      </c>
      <c r="E1663" s="10">
        <f>COMBIN(A1663,D1663)/COMBIN(A1663-B1663,D1663)</f>
        <v/>
      </c>
      <c r="F1663" s="11">
        <f>ROUNDUP(E1663*Controls!$B$4,4)</f>
        <v/>
      </c>
      <c r="G1663" s="12">
        <f>F1663/E1663</f>
        <v/>
      </c>
      <c r="H1663" s="10">
        <f>(A1663-B1663-(D1663-1))/(A1663-(D1663-1))</f>
        <v/>
      </c>
      <c r="I1663" s="9">
        <f>A1663&amp;'x'&amp;B1663</f>
        <v/>
      </c>
      <c r="J1663" s="9">
        <f>IF(AND(G1663&gt;0.9,G1663&lt;1),"OK","CHECK")</f>
        <v/>
      </c>
    </row>
    <row r="1664">
      <c r="A1664" s="9" t="n">
        <v>49</v>
      </c>
      <c r="B1664" s="9" t="n">
        <v>14</v>
      </c>
      <c r="C1664" s="9" t="n">
        <v>35</v>
      </c>
      <c r="D1664" s="9" t="n">
        <v>29</v>
      </c>
      <c r="E1664" s="10">
        <f>COMBIN(A1664,D1664)/COMBIN(A1664-B1664,D1664)</f>
        <v/>
      </c>
      <c r="F1664" s="11">
        <f>ROUNDUP(E1664*Controls!$B$4,4)</f>
        <v/>
      </c>
      <c r="G1664" s="12">
        <f>F1664/E1664</f>
        <v/>
      </c>
      <c r="H1664" s="10">
        <f>(A1664-B1664-(D1664-1))/(A1664-(D1664-1))</f>
        <v/>
      </c>
      <c r="I1664" s="9">
        <f>A1664&amp;'x'&amp;B1664</f>
        <v/>
      </c>
      <c r="J1664" s="9">
        <f>IF(AND(G1664&gt;0.9,G1664&lt;1),"OK","CHECK")</f>
        <v/>
      </c>
    </row>
    <row r="1665">
      <c r="A1665" s="9" t="n">
        <v>49</v>
      </c>
      <c r="B1665" s="9" t="n">
        <v>14</v>
      </c>
      <c r="C1665" s="9" t="n">
        <v>35</v>
      </c>
      <c r="D1665" s="9" t="n">
        <v>30</v>
      </c>
      <c r="E1665" s="10">
        <f>COMBIN(A1665,D1665)/COMBIN(A1665-B1665,D1665)</f>
        <v/>
      </c>
      <c r="F1665" s="11">
        <f>ROUNDUP(E1665*Controls!$B$4,4)</f>
        <v/>
      </c>
      <c r="G1665" s="12">
        <f>F1665/E1665</f>
        <v/>
      </c>
      <c r="H1665" s="10">
        <f>(A1665-B1665-(D1665-1))/(A1665-(D1665-1))</f>
        <v/>
      </c>
      <c r="I1665" s="9">
        <f>A1665&amp;'x'&amp;B1665</f>
        <v/>
      </c>
      <c r="J1665" s="9">
        <f>IF(AND(G1665&gt;0.9,G1665&lt;1),"OK","CHECK")</f>
        <v/>
      </c>
    </row>
    <row r="1666">
      <c r="A1666" s="9" t="n">
        <v>49</v>
      </c>
      <c r="B1666" s="9" t="n">
        <v>14</v>
      </c>
      <c r="C1666" s="9" t="n">
        <v>35</v>
      </c>
      <c r="D1666" s="9" t="n">
        <v>31</v>
      </c>
      <c r="E1666" s="10">
        <f>COMBIN(A1666,D1666)/COMBIN(A1666-B1666,D1666)</f>
        <v/>
      </c>
      <c r="F1666" s="11">
        <f>ROUNDUP(E1666*Controls!$B$4,4)</f>
        <v/>
      </c>
      <c r="G1666" s="12">
        <f>F1666/E1666</f>
        <v/>
      </c>
      <c r="H1666" s="10">
        <f>(A1666-B1666-(D1666-1))/(A1666-(D1666-1))</f>
        <v/>
      </c>
      <c r="I1666" s="9">
        <f>A1666&amp;'x'&amp;B1666</f>
        <v/>
      </c>
      <c r="J1666" s="9">
        <f>IF(AND(G1666&gt;0.9,G1666&lt;1),"OK","CHECK")</f>
        <v/>
      </c>
    </row>
    <row r="1667">
      <c r="A1667" s="9" t="n">
        <v>49</v>
      </c>
      <c r="B1667" s="9" t="n">
        <v>14</v>
      </c>
      <c r="C1667" s="9" t="n">
        <v>35</v>
      </c>
      <c r="D1667" s="9" t="n">
        <v>32</v>
      </c>
      <c r="E1667" s="10">
        <f>COMBIN(A1667,D1667)/COMBIN(A1667-B1667,D1667)</f>
        <v/>
      </c>
      <c r="F1667" s="11">
        <f>ROUNDUP(E1667*Controls!$B$4,4)</f>
        <v/>
      </c>
      <c r="G1667" s="12">
        <f>F1667/E1667</f>
        <v/>
      </c>
      <c r="H1667" s="10">
        <f>(A1667-B1667-(D1667-1))/(A1667-(D1667-1))</f>
        <v/>
      </c>
      <c r="I1667" s="9">
        <f>A1667&amp;'x'&amp;B1667</f>
        <v/>
      </c>
      <c r="J1667" s="9">
        <f>IF(AND(G1667&gt;0.9,G1667&lt;1),"OK","CHECK")</f>
        <v/>
      </c>
    </row>
    <row r="1668">
      <c r="A1668" s="9" t="n">
        <v>49</v>
      </c>
      <c r="B1668" s="9" t="n">
        <v>14</v>
      </c>
      <c r="C1668" s="9" t="n">
        <v>35</v>
      </c>
      <c r="D1668" s="9" t="n">
        <v>33</v>
      </c>
      <c r="E1668" s="10">
        <f>COMBIN(A1668,D1668)/COMBIN(A1668-B1668,D1668)</f>
        <v/>
      </c>
      <c r="F1668" s="11">
        <f>ROUNDUP(E1668*Controls!$B$4,4)</f>
        <v/>
      </c>
      <c r="G1668" s="12">
        <f>F1668/E1668</f>
        <v/>
      </c>
      <c r="H1668" s="10">
        <f>(A1668-B1668-(D1668-1))/(A1668-(D1668-1))</f>
        <v/>
      </c>
      <c r="I1668" s="9">
        <f>A1668&amp;'x'&amp;B1668</f>
        <v/>
      </c>
      <c r="J1668" s="9">
        <f>IF(AND(G1668&gt;0.9,G1668&lt;1),"OK","CHECK")</f>
        <v/>
      </c>
    </row>
    <row r="1669">
      <c r="A1669" s="9" t="n">
        <v>49</v>
      </c>
      <c r="B1669" s="9" t="n">
        <v>14</v>
      </c>
      <c r="C1669" s="9" t="n">
        <v>35</v>
      </c>
      <c r="D1669" s="9" t="n">
        <v>34</v>
      </c>
      <c r="E1669" s="10">
        <f>COMBIN(A1669,D1669)/COMBIN(A1669-B1669,D1669)</f>
        <v/>
      </c>
      <c r="F1669" s="11">
        <f>ROUNDUP(E1669*Controls!$B$4,4)</f>
        <v/>
      </c>
      <c r="G1669" s="12">
        <f>F1669/E1669</f>
        <v/>
      </c>
      <c r="H1669" s="10">
        <f>(A1669-B1669-(D1669-1))/(A1669-(D1669-1))</f>
        <v/>
      </c>
      <c r="I1669" s="9">
        <f>A1669&amp;'x'&amp;B1669</f>
        <v/>
      </c>
      <c r="J1669" s="9">
        <f>IF(AND(G1669&gt;0.9,G1669&lt;1),"OK","CHECK")</f>
        <v/>
      </c>
    </row>
    <row r="1670">
      <c r="A1670" s="9" t="n">
        <v>49</v>
      </c>
      <c r="B1670" s="9" t="n">
        <v>14</v>
      </c>
      <c r="C1670" s="9" t="n">
        <v>35</v>
      </c>
      <c r="D1670" s="9" t="n">
        <v>35</v>
      </c>
      <c r="E1670" s="10">
        <f>COMBIN(A1670,D1670)/COMBIN(A1670-B1670,D1670)</f>
        <v/>
      </c>
      <c r="F1670" s="11">
        <f>ROUNDUP(E1670*Controls!$B$4,4)</f>
        <v/>
      </c>
      <c r="G1670" s="12">
        <f>F1670/E1670</f>
        <v/>
      </c>
      <c r="H1670" s="10">
        <f>(A1670-B1670-(D1670-1))/(A1670-(D1670-1))</f>
        <v/>
      </c>
      <c r="I1670" s="9">
        <f>A1670&amp;'x'&amp;B1670</f>
        <v/>
      </c>
      <c r="J1670" s="9">
        <f>IF(AND(G1670&gt;0.9,G1670&lt;1),"OK","CHECK")</f>
        <v/>
      </c>
    </row>
    <row r="1671">
      <c r="A1671" s="9" t="n">
        <v>49</v>
      </c>
      <c r="B1671" s="9" t="n">
        <v>15</v>
      </c>
      <c r="C1671" s="9" t="n">
        <v>34</v>
      </c>
      <c r="D1671" s="9" t="n">
        <v>1</v>
      </c>
      <c r="E1671" s="10">
        <f>COMBIN(A1671,D1671)/COMBIN(A1671-B1671,D1671)</f>
        <v/>
      </c>
      <c r="F1671" s="11">
        <f>ROUNDUP(E1671*Controls!$B$4,4)</f>
        <v/>
      </c>
      <c r="G1671" s="12">
        <f>F1671/E1671</f>
        <v/>
      </c>
      <c r="H1671" s="10">
        <f>(A1671-B1671-(D1671-1))/(A1671-(D1671-1))</f>
        <v/>
      </c>
      <c r="I1671" s="9">
        <f>A1671&amp;'x'&amp;B1671</f>
        <v/>
      </c>
      <c r="J1671" s="9">
        <f>IF(AND(G1671&gt;0.9,G1671&lt;1),"OK","CHECK")</f>
        <v/>
      </c>
    </row>
    <row r="1672">
      <c r="A1672" s="9" t="n">
        <v>49</v>
      </c>
      <c r="B1672" s="9" t="n">
        <v>15</v>
      </c>
      <c r="C1672" s="9" t="n">
        <v>34</v>
      </c>
      <c r="D1672" s="9" t="n">
        <v>2</v>
      </c>
      <c r="E1672" s="10">
        <f>COMBIN(A1672,D1672)/COMBIN(A1672-B1672,D1672)</f>
        <v/>
      </c>
      <c r="F1672" s="11">
        <f>ROUNDUP(E1672*Controls!$B$4,4)</f>
        <v/>
      </c>
      <c r="G1672" s="12">
        <f>F1672/E1672</f>
        <v/>
      </c>
      <c r="H1672" s="10">
        <f>(A1672-B1672-(D1672-1))/(A1672-(D1672-1))</f>
        <v/>
      </c>
      <c r="I1672" s="9">
        <f>A1672&amp;'x'&amp;B1672</f>
        <v/>
      </c>
      <c r="J1672" s="9">
        <f>IF(AND(G1672&gt;0.9,G1672&lt;1),"OK","CHECK")</f>
        <v/>
      </c>
    </row>
    <row r="1673">
      <c r="A1673" s="9" t="n">
        <v>49</v>
      </c>
      <c r="B1673" s="9" t="n">
        <v>15</v>
      </c>
      <c r="C1673" s="9" t="n">
        <v>34</v>
      </c>
      <c r="D1673" s="9" t="n">
        <v>3</v>
      </c>
      <c r="E1673" s="10">
        <f>COMBIN(A1673,D1673)/COMBIN(A1673-B1673,D1673)</f>
        <v/>
      </c>
      <c r="F1673" s="11">
        <f>ROUNDUP(E1673*Controls!$B$4,4)</f>
        <v/>
      </c>
      <c r="G1673" s="12">
        <f>F1673/E1673</f>
        <v/>
      </c>
      <c r="H1673" s="10">
        <f>(A1673-B1673-(D1673-1))/(A1673-(D1673-1))</f>
        <v/>
      </c>
      <c r="I1673" s="9">
        <f>A1673&amp;'x'&amp;B1673</f>
        <v/>
      </c>
      <c r="J1673" s="9">
        <f>IF(AND(G1673&gt;0.9,G1673&lt;1),"OK","CHECK")</f>
        <v/>
      </c>
    </row>
    <row r="1674">
      <c r="A1674" s="9" t="n">
        <v>49</v>
      </c>
      <c r="B1674" s="9" t="n">
        <v>15</v>
      </c>
      <c r="C1674" s="9" t="n">
        <v>34</v>
      </c>
      <c r="D1674" s="9" t="n">
        <v>4</v>
      </c>
      <c r="E1674" s="10">
        <f>COMBIN(A1674,D1674)/COMBIN(A1674-B1674,D1674)</f>
        <v/>
      </c>
      <c r="F1674" s="11">
        <f>ROUNDUP(E1674*Controls!$B$4,4)</f>
        <v/>
      </c>
      <c r="G1674" s="12">
        <f>F1674/E1674</f>
        <v/>
      </c>
      <c r="H1674" s="10">
        <f>(A1674-B1674-(D1674-1))/(A1674-(D1674-1))</f>
        <v/>
      </c>
      <c r="I1674" s="9">
        <f>A1674&amp;'x'&amp;B1674</f>
        <v/>
      </c>
      <c r="J1674" s="9">
        <f>IF(AND(G1674&gt;0.9,G1674&lt;1),"OK","CHECK")</f>
        <v/>
      </c>
    </row>
    <row r="1675">
      <c r="A1675" s="9" t="n">
        <v>49</v>
      </c>
      <c r="B1675" s="9" t="n">
        <v>15</v>
      </c>
      <c r="C1675" s="9" t="n">
        <v>34</v>
      </c>
      <c r="D1675" s="9" t="n">
        <v>5</v>
      </c>
      <c r="E1675" s="10">
        <f>COMBIN(A1675,D1675)/COMBIN(A1675-B1675,D1675)</f>
        <v/>
      </c>
      <c r="F1675" s="11">
        <f>ROUNDUP(E1675*Controls!$B$4,4)</f>
        <v/>
      </c>
      <c r="G1675" s="12">
        <f>F1675/E1675</f>
        <v/>
      </c>
      <c r="H1675" s="10">
        <f>(A1675-B1675-(D1675-1))/(A1675-(D1675-1))</f>
        <v/>
      </c>
      <c r="I1675" s="9">
        <f>A1675&amp;'x'&amp;B1675</f>
        <v/>
      </c>
      <c r="J1675" s="9">
        <f>IF(AND(G1675&gt;0.9,G1675&lt;1),"OK","CHECK")</f>
        <v/>
      </c>
    </row>
    <row r="1676">
      <c r="A1676" s="9" t="n">
        <v>49</v>
      </c>
      <c r="B1676" s="9" t="n">
        <v>15</v>
      </c>
      <c r="C1676" s="9" t="n">
        <v>34</v>
      </c>
      <c r="D1676" s="9" t="n">
        <v>6</v>
      </c>
      <c r="E1676" s="10">
        <f>COMBIN(A1676,D1676)/COMBIN(A1676-B1676,D1676)</f>
        <v/>
      </c>
      <c r="F1676" s="11">
        <f>ROUNDUP(E1676*Controls!$B$4,4)</f>
        <v/>
      </c>
      <c r="G1676" s="12">
        <f>F1676/E1676</f>
        <v/>
      </c>
      <c r="H1676" s="10">
        <f>(A1676-B1676-(D1676-1))/(A1676-(D1676-1))</f>
        <v/>
      </c>
      <c r="I1676" s="9">
        <f>A1676&amp;'x'&amp;B1676</f>
        <v/>
      </c>
      <c r="J1676" s="9">
        <f>IF(AND(G1676&gt;0.9,G1676&lt;1),"OK","CHECK")</f>
        <v/>
      </c>
    </row>
    <row r="1677">
      <c r="A1677" s="9" t="n">
        <v>49</v>
      </c>
      <c r="B1677" s="9" t="n">
        <v>15</v>
      </c>
      <c r="C1677" s="9" t="n">
        <v>34</v>
      </c>
      <c r="D1677" s="9" t="n">
        <v>7</v>
      </c>
      <c r="E1677" s="10">
        <f>COMBIN(A1677,D1677)/COMBIN(A1677-B1677,D1677)</f>
        <v/>
      </c>
      <c r="F1677" s="11">
        <f>ROUNDUP(E1677*Controls!$B$4,4)</f>
        <v/>
      </c>
      <c r="G1677" s="12">
        <f>F1677/E1677</f>
        <v/>
      </c>
      <c r="H1677" s="10">
        <f>(A1677-B1677-(D1677-1))/(A1677-(D1677-1))</f>
        <v/>
      </c>
      <c r="I1677" s="9">
        <f>A1677&amp;'x'&amp;B1677</f>
        <v/>
      </c>
      <c r="J1677" s="9">
        <f>IF(AND(G1677&gt;0.9,G1677&lt;1),"OK","CHECK")</f>
        <v/>
      </c>
    </row>
    <row r="1678">
      <c r="A1678" s="9" t="n">
        <v>49</v>
      </c>
      <c r="B1678" s="9" t="n">
        <v>15</v>
      </c>
      <c r="C1678" s="9" t="n">
        <v>34</v>
      </c>
      <c r="D1678" s="9" t="n">
        <v>8</v>
      </c>
      <c r="E1678" s="10">
        <f>COMBIN(A1678,D1678)/COMBIN(A1678-B1678,D1678)</f>
        <v/>
      </c>
      <c r="F1678" s="11">
        <f>ROUNDUP(E1678*Controls!$B$4,4)</f>
        <v/>
      </c>
      <c r="G1678" s="12">
        <f>F1678/E1678</f>
        <v/>
      </c>
      <c r="H1678" s="10">
        <f>(A1678-B1678-(D1678-1))/(A1678-(D1678-1))</f>
        <v/>
      </c>
      <c r="I1678" s="9">
        <f>A1678&amp;'x'&amp;B1678</f>
        <v/>
      </c>
      <c r="J1678" s="9">
        <f>IF(AND(G1678&gt;0.9,G1678&lt;1),"OK","CHECK")</f>
        <v/>
      </c>
    </row>
    <row r="1679">
      <c r="A1679" s="9" t="n">
        <v>49</v>
      </c>
      <c r="B1679" s="9" t="n">
        <v>15</v>
      </c>
      <c r="C1679" s="9" t="n">
        <v>34</v>
      </c>
      <c r="D1679" s="9" t="n">
        <v>9</v>
      </c>
      <c r="E1679" s="10">
        <f>COMBIN(A1679,D1679)/COMBIN(A1679-B1679,D1679)</f>
        <v/>
      </c>
      <c r="F1679" s="11">
        <f>ROUNDUP(E1679*Controls!$B$4,4)</f>
        <v/>
      </c>
      <c r="G1679" s="12">
        <f>F1679/E1679</f>
        <v/>
      </c>
      <c r="H1679" s="10">
        <f>(A1679-B1679-(D1679-1))/(A1679-(D1679-1))</f>
        <v/>
      </c>
      <c r="I1679" s="9">
        <f>A1679&amp;'x'&amp;B1679</f>
        <v/>
      </c>
      <c r="J1679" s="9">
        <f>IF(AND(G1679&gt;0.9,G1679&lt;1),"OK","CHECK")</f>
        <v/>
      </c>
    </row>
    <row r="1680">
      <c r="A1680" s="9" t="n">
        <v>49</v>
      </c>
      <c r="B1680" s="9" t="n">
        <v>15</v>
      </c>
      <c r="C1680" s="9" t="n">
        <v>34</v>
      </c>
      <c r="D1680" s="9" t="n">
        <v>10</v>
      </c>
      <c r="E1680" s="10">
        <f>COMBIN(A1680,D1680)/COMBIN(A1680-B1680,D1680)</f>
        <v/>
      </c>
      <c r="F1680" s="11">
        <f>ROUNDUP(E1680*Controls!$B$4,4)</f>
        <v/>
      </c>
      <c r="G1680" s="12">
        <f>F1680/E1680</f>
        <v/>
      </c>
      <c r="H1680" s="10">
        <f>(A1680-B1680-(D1680-1))/(A1680-(D1680-1))</f>
        <v/>
      </c>
      <c r="I1680" s="9">
        <f>A1680&amp;'x'&amp;B1680</f>
        <v/>
      </c>
      <c r="J1680" s="9">
        <f>IF(AND(G1680&gt;0.9,G1680&lt;1),"OK","CHECK")</f>
        <v/>
      </c>
    </row>
    <row r="1681">
      <c r="A1681" s="9" t="n">
        <v>49</v>
      </c>
      <c r="B1681" s="9" t="n">
        <v>15</v>
      </c>
      <c r="C1681" s="9" t="n">
        <v>34</v>
      </c>
      <c r="D1681" s="9" t="n">
        <v>11</v>
      </c>
      <c r="E1681" s="10">
        <f>COMBIN(A1681,D1681)/COMBIN(A1681-B1681,D1681)</f>
        <v/>
      </c>
      <c r="F1681" s="11">
        <f>ROUNDUP(E1681*Controls!$B$4,4)</f>
        <v/>
      </c>
      <c r="G1681" s="12">
        <f>F1681/E1681</f>
        <v/>
      </c>
      <c r="H1681" s="10">
        <f>(A1681-B1681-(D1681-1))/(A1681-(D1681-1))</f>
        <v/>
      </c>
      <c r="I1681" s="9">
        <f>A1681&amp;'x'&amp;B1681</f>
        <v/>
      </c>
      <c r="J1681" s="9">
        <f>IF(AND(G1681&gt;0.9,G1681&lt;1),"OK","CHECK")</f>
        <v/>
      </c>
    </row>
    <row r="1682">
      <c r="A1682" s="9" t="n">
        <v>49</v>
      </c>
      <c r="B1682" s="9" t="n">
        <v>15</v>
      </c>
      <c r="C1682" s="9" t="n">
        <v>34</v>
      </c>
      <c r="D1682" s="9" t="n">
        <v>12</v>
      </c>
      <c r="E1682" s="10">
        <f>COMBIN(A1682,D1682)/COMBIN(A1682-B1682,D1682)</f>
        <v/>
      </c>
      <c r="F1682" s="11">
        <f>ROUNDUP(E1682*Controls!$B$4,4)</f>
        <v/>
      </c>
      <c r="G1682" s="12">
        <f>F1682/E1682</f>
        <v/>
      </c>
      <c r="H1682" s="10">
        <f>(A1682-B1682-(D1682-1))/(A1682-(D1682-1))</f>
        <v/>
      </c>
      <c r="I1682" s="9">
        <f>A1682&amp;'x'&amp;B1682</f>
        <v/>
      </c>
      <c r="J1682" s="9">
        <f>IF(AND(G1682&gt;0.9,G1682&lt;1),"OK","CHECK")</f>
        <v/>
      </c>
    </row>
    <row r="1683">
      <c r="A1683" s="9" t="n">
        <v>49</v>
      </c>
      <c r="B1683" s="9" t="n">
        <v>15</v>
      </c>
      <c r="C1683" s="9" t="n">
        <v>34</v>
      </c>
      <c r="D1683" s="9" t="n">
        <v>13</v>
      </c>
      <c r="E1683" s="10">
        <f>COMBIN(A1683,D1683)/COMBIN(A1683-B1683,D1683)</f>
        <v/>
      </c>
      <c r="F1683" s="11">
        <f>ROUNDUP(E1683*Controls!$B$4,4)</f>
        <v/>
      </c>
      <c r="G1683" s="12">
        <f>F1683/E1683</f>
        <v/>
      </c>
      <c r="H1683" s="10">
        <f>(A1683-B1683-(D1683-1))/(A1683-(D1683-1))</f>
        <v/>
      </c>
      <c r="I1683" s="9">
        <f>A1683&amp;'x'&amp;B1683</f>
        <v/>
      </c>
      <c r="J1683" s="9">
        <f>IF(AND(G1683&gt;0.9,G1683&lt;1),"OK","CHECK")</f>
        <v/>
      </c>
    </row>
    <row r="1684">
      <c r="A1684" s="9" t="n">
        <v>49</v>
      </c>
      <c r="B1684" s="9" t="n">
        <v>15</v>
      </c>
      <c r="C1684" s="9" t="n">
        <v>34</v>
      </c>
      <c r="D1684" s="9" t="n">
        <v>14</v>
      </c>
      <c r="E1684" s="10">
        <f>COMBIN(A1684,D1684)/COMBIN(A1684-B1684,D1684)</f>
        <v/>
      </c>
      <c r="F1684" s="11">
        <f>ROUNDUP(E1684*Controls!$B$4,4)</f>
        <v/>
      </c>
      <c r="G1684" s="12">
        <f>F1684/E1684</f>
        <v/>
      </c>
      <c r="H1684" s="10">
        <f>(A1684-B1684-(D1684-1))/(A1684-(D1684-1))</f>
        <v/>
      </c>
      <c r="I1684" s="9">
        <f>A1684&amp;'x'&amp;B1684</f>
        <v/>
      </c>
      <c r="J1684" s="9">
        <f>IF(AND(G1684&gt;0.9,G1684&lt;1),"OK","CHECK")</f>
        <v/>
      </c>
    </row>
    <row r="1685">
      <c r="A1685" s="9" t="n">
        <v>49</v>
      </c>
      <c r="B1685" s="9" t="n">
        <v>15</v>
      </c>
      <c r="C1685" s="9" t="n">
        <v>34</v>
      </c>
      <c r="D1685" s="9" t="n">
        <v>15</v>
      </c>
      <c r="E1685" s="10">
        <f>COMBIN(A1685,D1685)/COMBIN(A1685-B1685,D1685)</f>
        <v/>
      </c>
      <c r="F1685" s="11">
        <f>ROUNDUP(E1685*Controls!$B$4,4)</f>
        <v/>
      </c>
      <c r="G1685" s="12">
        <f>F1685/E1685</f>
        <v/>
      </c>
      <c r="H1685" s="10">
        <f>(A1685-B1685-(D1685-1))/(A1685-(D1685-1))</f>
        <v/>
      </c>
      <c r="I1685" s="9">
        <f>A1685&amp;'x'&amp;B1685</f>
        <v/>
      </c>
      <c r="J1685" s="9">
        <f>IF(AND(G1685&gt;0.9,G1685&lt;1),"OK","CHECK")</f>
        <v/>
      </c>
    </row>
    <row r="1686">
      <c r="A1686" s="9" t="n">
        <v>49</v>
      </c>
      <c r="B1686" s="9" t="n">
        <v>15</v>
      </c>
      <c r="C1686" s="9" t="n">
        <v>34</v>
      </c>
      <c r="D1686" s="9" t="n">
        <v>16</v>
      </c>
      <c r="E1686" s="10">
        <f>COMBIN(A1686,D1686)/COMBIN(A1686-B1686,D1686)</f>
        <v/>
      </c>
      <c r="F1686" s="11">
        <f>ROUNDUP(E1686*Controls!$B$4,4)</f>
        <v/>
      </c>
      <c r="G1686" s="12">
        <f>F1686/E1686</f>
        <v/>
      </c>
      <c r="H1686" s="10">
        <f>(A1686-B1686-(D1686-1))/(A1686-(D1686-1))</f>
        <v/>
      </c>
      <c r="I1686" s="9">
        <f>A1686&amp;'x'&amp;B1686</f>
        <v/>
      </c>
      <c r="J1686" s="9">
        <f>IF(AND(G1686&gt;0.9,G1686&lt;1),"OK","CHECK")</f>
        <v/>
      </c>
    </row>
    <row r="1687">
      <c r="A1687" s="9" t="n">
        <v>49</v>
      </c>
      <c r="B1687" s="9" t="n">
        <v>15</v>
      </c>
      <c r="C1687" s="9" t="n">
        <v>34</v>
      </c>
      <c r="D1687" s="9" t="n">
        <v>17</v>
      </c>
      <c r="E1687" s="10">
        <f>COMBIN(A1687,D1687)/COMBIN(A1687-B1687,D1687)</f>
        <v/>
      </c>
      <c r="F1687" s="11">
        <f>ROUNDUP(E1687*Controls!$B$4,4)</f>
        <v/>
      </c>
      <c r="G1687" s="12">
        <f>F1687/E1687</f>
        <v/>
      </c>
      <c r="H1687" s="10">
        <f>(A1687-B1687-(D1687-1))/(A1687-(D1687-1))</f>
        <v/>
      </c>
      <c r="I1687" s="9">
        <f>A1687&amp;'x'&amp;B1687</f>
        <v/>
      </c>
      <c r="J1687" s="9">
        <f>IF(AND(G1687&gt;0.9,G1687&lt;1),"OK","CHECK")</f>
        <v/>
      </c>
    </row>
    <row r="1688">
      <c r="A1688" s="9" t="n">
        <v>49</v>
      </c>
      <c r="B1688" s="9" t="n">
        <v>15</v>
      </c>
      <c r="C1688" s="9" t="n">
        <v>34</v>
      </c>
      <c r="D1688" s="9" t="n">
        <v>18</v>
      </c>
      <c r="E1688" s="10">
        <f>COMBIN(A1688,D1688)/COMBIN(A1688-B1688,D1688)</f>
        <v/>
      </c>
      <c r="F1688" s="11">
        <f>ROUNDUP(E1688*Controls!$B$4,4)</f>
        <v/>
      </c>
      <c r="G1688" s="12">
        <f>F1688/E1688</f>
        <v/>
      </c>
      <c r="H1688" s="10">
        <f>(A1688-B1688-(D1688-1))/(A1688-(D1688-1))</f>
        <v/>
      </c>
      <c r="I1688" s="9">
        <f>A1688&amp;'x'&amp;B1688</f>
        <v/>
      </c>
      <c r="J1688" s="9">
        <f>IF(AND(G1688&gt;0.9,G1688&lt;1),"OK","CHECK")</f>
        <v/>
      </c>
    </row>
    <row r="1689">
      <c r="A1689" s="9" t="n">
        <v>49</v>
      </c>
      <c r="B1689" s="9" t="n">
        <v>15</v>
      </c>
      <c r="C1689" s="9" t="n">
        <v>34</v>
      </c>
      <c r="D1689" s="9" t="n">
        <v>19</v>
      </c>
      <c r="E1689" s="10">
        <f>COMBIN(A1689,D1689)/COMBIN(A1689-B1689,D1689)</f>
        <v/>
      </c>
      <c r="F1689" s="11">
        <f>ROUNDUP(E1689*Controls!$B$4,4)</f>
        <v/>
      </c>
      <c r="G1689" s="12">
        <f>F1689/E1689</f>
        <v/>
      </c>
      <c r="H1689" s="10">
        <f>(A1689-B1689-(D1689-1))/(A1689-(D1689-1))</f>
        <v/>
      </c>
      <c r="I1689" s="9">
        <f>A1689&amp;'x'&amp;B1689</f>
        <v/>
      </c>
      <c r="J1689" s="9">
        <f>IF(AND(G1689&gt;0.9,G1689&lt;1),"OK","CHECK")</f>
        <v/>
      </c>
    </row>
    <row r="1690">
      <c r="A1690" s="9" t="n">
        <v>49</v>
      </c>
      <c r="B1690" s="9" t="n">
        <v>15</v>
      </c>
      <c r="C1690" s="9" t="n">
        <v>34</v>
      </c>
      <c r="D1690" s="9" t="n">
        <v>20</v>
      </c>
      <c r="E1690" s="10">
        <f>COMBIN(A1690,D1690)/COMBIN(A1690-B1690,D1690)</f>
        <v/>
      </c>
      <c r="F1690" s="11">
        <f>ROUNDUP(E1690*Controls!$B$4,4)</f>
        <v/>
      </c>
      <c r="G1690" s="12">
        <f>F1690/E1690</f>
        <v/>
      </c>
      <c r="H1690" s="10">
        <f>(A1690-B1690-(D1690-1))/(A1690-(D1690-1))</f>
        <v/>
      </c>
      <c r="I1690" s="9">
        <f>A1690&amp;'x'&amp;B1690</f>
        <v/>
      </c>
      <c r="J1690" s="9">
        <f>IF(AND(G1690&gt;0.9,G1690&lt;1),"OK","CHECK")</f>
        <v/>
      </c>
    </row>
    <row r="1691">
      <c r="A1691" s="9" t="n">
        <v>49</v>
      </c>
      <c r="B1691" s="9" t="n">
        <v>15</v>
      </c>
      <c r="C1691" s="9" t="n">
        <v>34</v>
      </c>
      <c r="D1691" s="9" t="n">
        <v>21</v>
      </c>
      <c r="E1691" s="10">
        <f>COMBIN(A1691,D1691)/COMBIN(A1691-B1691,D1691)</f>
        <v/>
      </c>
      <c r="F1691" s="11">
        <f>ROUNDUP(E1691*Controls!$B$4,4)</f>
        <v/>
      </c>
      <c r="G1691" s="12">
        <f>F1691/E1691</f>
        <v/>
      </c>
      <c r="H1691" s="10">
        <f>(A1691-B1691-(D1691-1))/(A1691-(D1691-1))</f>
        <v/>
      </c>
      <c r="I1691" s="9">
        <f>A1691&amp;'x'&amp;B1691</f>
        <v/>
      </c>
      <c r="J1691" s="9">
        <f>IF(AND(G1691&gt;0.9,G1691&lt;1),"OK","CHECK")</f>
        <v/>
      </c>
    </row>
    <row r="1692">
      <c r="A1692" s="9" t="n">
        <v>49</v>
      </c>
      <c r="B1692" s="9" t="n">
        <v>15</v>
      </c>
      <c r="C1692" s="9" t="n">
        <v>34</v>
      </c>
      <c r="D1692" s="9" t="n">
        <v>22</v>
      </c>
      <c r="E1692" s="10">
        <f>COMBIN(A1692,D1692)/COMBIN(A1692-B1692,D1692)</f>
        <v/>
      </c>
      <c r="F1692" s="11">
        <f>ROUNDUP(E1692*Controls!$B$4,4)</f>
        <v/>
      </c>
      <c r="G1692" s="12">
        <f>F1692/E1692</f>
        <v/>
      </c>
      <c r="H1692" s="10">
        <f>(A1692-B1692-(D1692-1))/(A1692-(D1692-1))</f>
        <v/>
      </c>
      <c r="I1692" s="9">
        <f>A1692&amp;'x'&amp;B1692</f>
        <v/>
      </c>
      <c r="J1692" s="9">
        <f>IF(AND(G1692&gt;0.9,G1692&lt;1),"OK","CHECK")</f>
        <v/>
      </c>
    </row>
    <row r="1693">
      <c r="A1693" s="9" t="n">
        <v>49</v>
      </c>
      <c r="B1693" s="9" t="n">
        <v>15</v>
      </c>
      <c r="C1693" s="9" t="n">
        <v>34</v>
      </c>
      <c r="D1693" s="9" t="n">
        <v>23</v>
      </c>
      <c r="E1693" s="10">
        <f>COMBIN(A1693,D1693)/COMBIN(A1693-B1693,D1693)</f>
        <v/>
      </c>
      <c r="F1693" s="11">
        <f>ROUNDUP(E1693*Controls!$B$4,4)</f>
        <v/>
      </c>
      <c r="G1693" s="12">
        <f>F1693/E1693</f>
        <v/>
      </c>
      <c r="H1693" s="10">
        <f>(A1693-B1693-(D1693-1))/(A1693-(D1693-1))</f>
        <v/>
      </c>
      <c r="I1693" s="9">
        <f>A1693&amp;'x'&amp;B1693</f>
        <v/>
      </c>
      <c r="J1693" s="9">
        <f>IF(AND(G1693&gt;0.9,G1693&lt;1),"OK","CHECK")</f>
        <v/>
      </c>
    </row>
    <row r="1694">
      <c r="A1694" s="9" t="n">
        <v>49</v>
      </c>
      <c r="B1694" s="9" t="n">
        <v>15</v>
      </c>
      <c r="C1694" s="9" t="n">
        <v>34</v>
      </c>
      <c r="D1694" s="9" t="n">
        <v>24</v>
      </c>
      <c r="E1694" s="10">
        <f>COMBIN(A1694,D1694)/COMBIN(A1694-B1694,D1694)</f>
        <v/>
      </c>
      <c r="F1694" s="11">
        <f>ROUNDUP(E1694*Controls!$B$4,4)</f>
        <v/>
      </c>
      <c r="G1694" s="12">
        <f>F1694/E1694</f>
        <v/>
      </c>
      <c r="H1694" s="10">
        <f>(A1694-B1694-(D1694-1))/(A1694-(D1694-1))</f>
        <v/>
      </c>
      <c r="I1694" s="9">
        <f>A1694&amp;'x'&amp;B1694</f>
        <v/>
      </c>
      <c r="J1694" s="9">
        <f>IF(AND(G1694&gt;0.9,G1694&lt;1),"OK","CHECK")</f>
        <v/>
      </c>
    </row>
    <row r="1695">
      <c r="A1695" s="9" t="n">
        <v>49</v>
      </c>
      <c r="B1695" s="9" t="n">
        <v>15</v>
      </c>
      <c r="C1695" s="9" t="n">
        <v>34</v>
      </c>
      <c r="D1695" s="9" t="n">
        <v>25</v>
      </c>
      <c r="E1695" s="10">
        <f>COMBIN(A1695,D1695)/COMBIN(A1695-B1695,D1695)</f>
        <v/>
      </c>
      <c r="F1695" s="11">
        <f>ROUNDUP(E1695*Controls!$B$4,4)</f>
        <v/>
      </c>
      <c r="G1695" s="12">
        <f>F1695/E1695</f>
        <v/>
      </c>
      <c r="H1695" s="10">
        <f>(A1695-B1695-(D1695-1))/(A1695-(D1695-1))</f>
        <v/>
      </c>
      <c r="I1695" s="9">
        <f>A1695&amp;'x'&amp;B1695</f>
        <v/>
      </c>
      <c r="J1695" s="9">
        <f>IF(AND(G1695&gt;0.9,G1695&lt;1),"OK","CHECK")</f>
        <v/>
      </c>
    </row>
    <row r="1696">
      <c r="A1696" s="9" t="n">
        <v>49</v>
      </c>
      <c r="B1696" s="9" t="n">
        <v>15</v>
      </c>
      <c r="C1696" s="9" t="n">
        <v>34</v>
      </c>
      <c r="D1696" s="9" t="n">
        <v>26</v>
      </c>
      <c r="E1696" s="10">
        <f>COMBIN(A1696,D1696)/COMBIN(A1696-B1696,D1696)</f>
        <v/>
      </c>
      <c r="F1696" s="11">
        <f>ROUNDUP(E1696*Controls!$B$4,4)</f>
        <v/>
      </c>
      <c r="G1696" s="12">
        <f>F1696/E1696</f>
        <v/>
      </c>
      <c r="H1696" s="10">
        <f>(A1696-B1696-(D1696-1))/(A1696-(D1696-1))</f>
        <v/>
      </c>
      <c r="I1696" s="9">
        <f>A1696&amp;'x'&amp;B1696</f>
        <v/>
      </c>
      <c r="J1696" s="9">
        <f>IF(AND(G1696&gt;0.9,G1696&lt;1),"OK","CHECK")</f>
        <v/>
      </c>
    </row>
    <row r="1697">
      <c r="A1697" s="9" t="n">
        <v>49</v>
      </c>
      <c r="B1697" s="9" t="n">
        <v>15</v>
      </c>
      <c r="C1697" s="9" t="n">
        <v>34</v>
      </c>
      <c r="D1697" s="9" t="n">
        <v>27</v>
      </c>
      <c r="E1697" s="10">
        <f>COMBIN(A1697,D1697)/COMBIN(A1697-B1697,D1697)</f>
        <v/>
      </c>
      <c r="F1697" s="11">
        <f>ROUNDUP(E1697*Controls!$B$4,4)</f>
        <v/>
      </c>
      <c r="G1697" s="12">
        <f>F1697/E1697</f>
        <v/>
      </c>
      <c r="H1697" s="10">
        <f>(A1697-B1697-(D1697-1))/(A1697-(D1697-1))</f>
        <v/>
      </c>
      <c r="I1697" s="9">
        <f>A1697&amp;'x'&amp;B1697</f>
        <v/>
      </c>
      <c r="J1697" s="9">
        <f>IF(AND(G1697&gt;0.9,G1697&lt;1),"OK","CHECK")</f>
        <v/>
      </c>
    </row>
    <row r="1698">
      <c r="A1698" s="9" t="n">
        <v>49</v>
      </c>
      <c r="B1698" s="9" t="n">
        <v>15</v>
      </c>
      <c r="C1698" s="9" t="n">
        <v>34</v>
      </c>
      <c r="D1698" s="9" t="n">
        <v>28</v>
      </c>
      <c r="E1698" s="10">
        <f>COMBIN(A1698,D1698)/COMBIN(A1698-B1698,D1698)</f>
        <v/>
      </c>
      <c r="F1698" s="11">
        <f>ROUNDUP(E1698*Controls!$B$4,4)</f>
        <v/>
      </c>
      <c r="G1698" s="12">
        <f>F1698/E1698</f>
        <v/>
      </c>
      <c r="H1698" s="10">
        <f>(A1698-B1698-(D1698-1))/(A1698-(D1698-1))</f>
        <v/>
      </c>
      <c r="I1698" s="9">
        <f>A1698&amp;'x'&amp;B1698</f>
        <v/>
      </c>
      <c r="J1698" s="9">
        <f>IF(AND(G1698&gt;0.9,G1698&lt;1),"OK","CHECK")</f>
        <v/>
      </c>
    </row>
    <row r="1699">
      <c r="A1699" s="9" t="n">
        <v>49</v>
      </c>
      <c r="B1699" s="9" t="n">
        <v>15</v>
      </c>
      <c r="C1699" s="9" t="n">
        <v>34</v>
      </c>
      <c r="D1699" s="9" t="n">
        <v>29</v>
      </c>
      <c r="E1699" s="10">
        <f>COMBIN(A1699,D1699)/COMBIN(A1699-B1699,D1699)</f>
        <v/>
      </c>
      <c r="F1699" s="11">
        <f>ROUNDUP(E1699*Controls!$B$4,4)</f>
        <v/>
      </c>
      <c r="G1699" s="12">
        <f>F1699/E1699</f>
        <v/>
      </c>
      <c r="H1699" s="10">
        <f>(A1699-B1699-(D1699-1))/(A1699-(D1699-1))</f>
        <v/>
      </c>
      <c r="I1699" s="9">
        <f>A1699&amp;'x'&amp;B1699</f>
        <v/>
      </c>
      <c r="J1699" s="9">
        <f>IF(AND(G1699&gt;0.9,G1699&lt;1),"OK","CHECK")</f>
        <v/>
      </c>
    </row>
    <row r="1700">
      <c r="A1700" s="9" t="n">
        <v>49</v>
      </c>
      <c r="B1700" s="9" t="n">
        <v>15</v>
      </c>
      <c r="C1700" s="9" t="n">
        <v>34</v>
      </c>
      <c r="D1700" s="9" t="n">
        <v>30</v>
      </c>
      <c r="E1700" s="10">
        <f>COMBIN(A1700,D1700)/COMBIN(A1700-B1700,D1700)</f>
        <v/>
      </c>
      <c r="F1700" s="11">
        <f>ROUNDUP(E1700*Controls!$B$4,4)</f>
        <v/>
      </c>
      <c r="G1700" s="12">
        <f>F1700/E1700</f>
        <v/>
      </c>
      <c r="H1700" s="10">
        <f>(A1700-B1700-(D1700-1))/(A1700-(D1700-1))</f>
        <v/>
      </c>
      <c r="I1700" s="9">
        <f>A1700&amp;'x'&amp;B1700</f>
        <v/>
      </c>
      <c r="J1700" s="9">
        <f>IF(AND(G1700&gt;0.9,G1700&lt;1),"OK","CHECK")</f>
        <v/>
      </c>
    </row>
    <row r="1701">
      <c r="A1701" s="9" t="n">
        <v>49</v>
      </c>
      <c r="B1701" s="9" t="n">
        <v>15</v>
      </c>
      <c r="C1701" s="9" t="n">
        <v>34</v>
      </c>
      <c r="D1701" s="9" t="n">
        <v>31</v>
      </c>
      <c r="E1701" s="10">
        <f>COMBIN(A1701,D1701)/COMBIN(A1701-B1701,D1701)</f>
        <v/>
      </c>
      <c r="F1701" s="11">
        <f>ROUNDUP(E1701*Controls!$B$4,4)</f>
        <v/>
      </c>
      <c r="G1701" s="12">
        <f>F1701/E1701</f>
        <v/>
      </c>
      <c r="H1701" s="10">
        <f>(A1701-B1701-(D1701-1))/(A1701-(D1701-1))</f>
        <v/>
      </c>
      <c r="I1701" s="9">
        <f>A1701&amp;'x'&amp;B1701</f>
        <v/>
      </c>
      <c r="J1701" s="9">
        <f>IF(AND(G1701&gt;0.9,G1701&lt;1),"OK","CHECK")</f>
        <v/>
      </c>
    </row>
    <row r="1702">
      <c r="A1702" s="9" t="n">
        <v>49</v>
      </c>
      <c r="B1702" s="9" t="n">
        <v>15</v>
      </c>
      <c r="C1702" s="9" t="n">
        <v>34</v>
      </c>
      <c r="D1702" s="9" t="n">
        <v>32</v>
      </c>
      <c r="E1702" s="10">
        <f>COMBIN(A1702,D1702)/COMBIN(A1702-B1702,D1702)</f>
        <v/>
      </c>
      <c r="F1702" s="11">
        <f>ROUNDUP(E1702*Controls!$B$4,4)</f>
        <v/>
      </c>
      <c r="G1702" s="12">
        <f>F1702/E1702</f>
        <v/>
      </c>
      <c r="H1702" s="10">
        <f>(A1702-B1702-(D1702-1))/(A1702-(D1702-1))</f>
        <v/>
      </c>
      <c r="I1702" s="9">
        <f>A1702&amp;'x'&amp;B1702</f>
        <v/>
      </c>
      <c r="J1702" s="9">
        <f>IF(AND(G1702&gt;0.9,G1702&lt;1),"OK","CHECK")</f>
        <v/>
      </c>
    </row>
    <row r="1703">
      <c r="A1703" s="9" t="n">
        <v>49</v>
      </c>
      <c r="B1703" s="9" t="n">
        <v>15</v>
      </c>
      <c r="C1703" s="9" t="n">
        <v>34</v>
      </c>
      <c r="D1703" s="9" t="n">
        <v>33</v>
      </c>
      <c r="E1703" s="10">
        <f>COMBIN(A1703,D1703)/COMBIN(A1703-B1703,D1703)</f>
        <v/>
      </c>
      <c r="F1703" s="11">
        <f>ROUNDUP(E1703*Controls!$B$4,4)</f>
        <v/>
      </c>
      <c r="G1703" s="12">
        <f>F1703/E1703</f>
        <v/>
      </c>
      <c r="H1703" s="10">
        <f>(A1703-B1703-(D1703-1))/(A1703-(D1703-1))</f>
        <v/>
      </c>
      <c r="I1703" s="9">
        <f>A1703&amp;'x'&amp;B1703</f>
        <v/>
      </c>
      <c r="J1703" s="9">
        <f>IF(AND(G1703&gt;0.9,G1703&lt;1),"OK","CHECK")</f>
        <v/>
      </c>
    </row>
    <row r="1704">
      <c r="A1704" s="9" t="n">
        <v>49</v>
      </c>
      <c r="B1704" s="9" t="n">
        <v>15</v>
      </c>
      <c r="C1704" s="9" t="n">
        <v>34</v>
      </c>
      <c r="D1704" s="9" t="n">
        <v>34</v>
      </c>
      <c r="E1704" s="10">
        <f>COMBIN(A1704,D1704)/COMBIN(A1704-B1704,D1704)</f>
        <v/>
      </c>
      <c r="F1704" s="11">
        <f>ROUNDUP(E1704*Controls!$B$4,4)</f>
        <v/>
      </c>
      <c r="G1704" s="12">
        <f>F1704/E1704</f>
        <v/>
      </c>
      <c r="H1704" s="10">
        <f>(A1704-B1704-(D1704-1))/(A1704-(D1704-1))</f>
        <v/>
      </c>
      <c r="I1704" s="9">
        <f>A1704&amp;'x'&amp;B1704</f>
        <v/>
      </c>
      <c r="J1704" s="9">
        <f>IF(AND(G1704&gt;0.9,G1704&lt;1),"OK","CHECK")</f>
        <v/>
      </c>
    </row>
    <row r="1705">
      <c r="A1705" s="9" t="n">
        <v>49</v>
      </c>
      <c r="B1705" s="9" t="n">
        <v>16</v>
      </c>
      <c r="C1705" s="9" t="n">
        <v>33</v>
      </c>
      <c r="D1705" s="9" t="n">
        <v>1</v>
      </c>
      <c r="E1705" s="10">
        <f>COMBIN(A1705,D1705)/COMBIN(A1705-B1705,D1705)</f>
        <v/>
      </c>
      <c r="F1705" s="11">
        <f>ROUNDUP(E1705*Controls!$B$4,4)</f>
        <v/>
      </c>
      <c r="G1705" s="12">
        <f>F1705/E1705</f>
        <v/>
      </c>
      <c r="H1705" s="10">
        <f>(A1705-B1705-(D1705-1))/(A1705-(D1705-1))</f>
        <v/>
      </c>
      <c r="I1705" s="9">
        <f>A1705&amp;'x'&amp;B1705</f>
        <v/>
      </c>
      <c r="J1705" s="9">
        <f>IF(AND(G1705&gt;0.9,G1705&lt;1),"OK","CHECK")</f>
        <v/>
      </c>
    </row>
    <row r="1706">
      <c r="A1706" s="9" t="n">
        <v>49</v>
      </c>
      <c r="B1706" s="9" t="n">
        <v>16</v>
      </c>
      <c r="C1706" s="9" t="n">
        <v>33</v>
      </c>
      <c r="D1706" s="9" t="n">
        <v>2</v>
      </c>
      <c r="E1706" s="10">
        <f>COMBIN(A1706,D1706)/COMBIN(A1706-B1706,D1706)</f>
        <v/>
      </c>
      <c r="F1706" s="11">
        <f>ROUNDUP(E1706*Controls!$B$4,4)</f>
        <v/>
      </c>
      <c r="G1706" s="12">
        <f>F1706/E1706</f>
        <v/>
      </c>
      <c r="H1706" s="10">
        <f>(A1706-B1706-(D1706-1))/(A1706-(D1706-1))</f>
        <v/>
      </c>
      <c r="I1706" s="9">
        <f>A1706&amp;'x'&amp;B1706</f>
        <v/>
      </c>
      <c r="J1706" s="9">
        <f>IF(AND(G1706&gt;0.9,G1706&lt;1),"OK","CHECK")</f>
        <v/>
      </c>
    </row>
    <row r="1707">
      <c r="A1707" s="9" t="n">
        <v>49</v>
      </c>
      <c r="B1707" s="9" t="n">
        <v>16</v>
      </c>
      <c r="C1707" s="9" t="n">
        <v>33</v>
      </c>
      <c r="D1707" s="9" t="n">
        <v>3</v>
      </c>
      <c r="E1707" s="10">
        <f>COMBIN(A1707,D1707)/COMBIN(A1707-B1707,D1707)</f>
        <v/>
      </c>
      <c r="F1707" s="11">
        <f>ROUNDUP(E1707*Controls!$B$4,4)</f>
        <v/>
      </c>
      <c r="G1707" s="12">
        <f>F1707/E1707</f>
        <v/>
      </c>
      <c r="H1707" s="10">
        <f>(A1707-B1707-(D1707-1))/(A1707-(D1707-1))</f>
        <v/>
      </c>
      <c r="I1707" s="9">
        <f>A1707&amp;'x'&amp;B1707</f>
        <v/>
      </c>
      <c r="J1707" s="9">
        <f>IF(AND(G1707&gt;0.9,G1707&lt;1),"OK","CHECK")</f>
        <v/>
      </c>
    </row>
    <row r="1708">
      <c r="A1708" s="9" t="n">
        <v>49</v>
      </c>
      <c r="B1708" s="9" t="n">
        <v>16</v>
      </c>
      <c r="C1708" s="9" t="n">
        <v>33</v>
      </c>
      <c r="D1708" s="9" t="n">
        <v>4</v>
      </c>
      <c r="E1708" s="10">
        <f>COMBIN(A1708,D1708)/COMBIN(A1708-B1708,D1708)</f>
        <v/>
      </c>
      <c r="F1708" s="11">
        <f>ROUNDUP(E1708*Controls!$B$4,4)</f>
        <v/>
      </c>
      <c r="G1708" s="12">
        <f>F1708/E1708</f>
        <v/>
      </c>
      <c r="H1708" s="10">
        <f>(A1708-B1708-(D1708-1))/(A1708-(D1708-1))</f>
        <v/>
      </c>
      <c r="I1708" s="9">
        <f>A1708&amp;'x'&amp;B1708</f>
        <v/>
      </c>
      <c r="J1708" s="9">
        <f>IF(AND(G1708&gt;0.9,G1708&lt;1),"OK","CHECK")</f>
        <v/>
      </c>
    </row>
    <row r="1709">
      <c r="A1709" s="9" t="n">
        <v>49</v>
      </c>
      <c r="B1709" s="9" t="n">
        <v>16</v>
      </c>
      <c r="C1709" s="9" t="n">
        <v>33</v>
      </c>
      <c r="D1709" s="9" t="n">
        <v>5</v>
      </c>
      <c r="E1709" s="10">
        <f>COMBIN(A1709,D1709)/COMBIN(A1709-B1709,D1709)</f>
        <v/>
      </c>
      <c r="F1709" s="11">
        <f>ROUNDUP(E1709*Controls!$B$4,4)</f>
        <v/>
      </c>
      <c r="G1709" s="12">
        <f>F1709/E1709</f>
        <v/>
      </c>
      <c r="H1709" s="10">
        <f>(A1709-B1709-(D1709-1))/(A1709-(D1709-1))</f>
        <v/>
      </c>
      <c r="I1709" s="9">
        <f>A1709&amp;'x'&amp;B1709</f>
        <v/>
      </c>
      <c r="J1709" s="9">
        <f>IF(AND(G1709&gt;0.9,G1709&lt;1),"OK","CHECK")</f>
        <v/>
      </c>
    </row>
    <row r="1710">
      <c r="A1710" s="9" t="n">
        <v>49</v>
      </c>
      <c r="B1710" s="9" t="n">
        <v>16</v>
      </c>
      <c r="C1710" s="9" t="n">
        <v>33</v>
      </c>
      <c r="D1710" s="9" t="n">
        <v>6</v>
      </c>
      <c r="E1710" s="10">
        <f>COMBIN(A1710,D1710)/COMBIN(A1710-B1710,D1710)</f>
        <v/>
      </c>
      <c r="F1710" s="11">
        <f>ROUNDUP(E1710*Controls!$B$4,4)</f>
        <v/>
      </c>
      <c r="G1710" s="12">
        <f>F1710/E1710</f>
        <v/>
      </c>
      <c r="H1710" s="10">
        <f>(A1710-B1710-(D1710-1))/(A1710-(D1710-1))</f>
        <v/>
      </c>
      <c r="I1710" s="9">
        <f>A1710&amp;'x'&amp;B1710</f>
        <v/>
      </c>
      <c r="J1710" s="9">
        <f>IF(AND(G1710&gt;0.9,G1710&lt;1),"OK","CHECK")</f>
        <v/>
      </c>
    </row>
    <row r="1711">
      <c r="A1711" s="9" t="n">
        <v>49</v>
      </c>
      <c r="B1711" s="9" t="n">
        <v>16</v>
      </c>
      <c r="C1711" s="9" t="n">
        <v>33</v>
      </c>
      <c r="D1711" s="9" t="n">
        <v>7</v>
      </c>
      <c r="E1711" s="10">
        <f>COMBIN(A1711,D1711)/COMBIN(A1711-B1711,D1711)</f>
        <v/>
      </c>
      <c r="F1711" s="11">
        <f>ROUNDUP(E1711*Controls!$B$4,4)</f>
        <v/>
      </c>
      <c r="G1711" s="12">
        <f>F1711/E1711</f>
        <v/>
      </c>
      <c r="H1711" s="10">
        <f>(A1711-B1711-(D1711-1))/(A1711-(D1711-1))</f>
        <v/>
      </c>
      <c r="I1711" s="9">
        <f>A1711&amp;'x'&amp;B1711</f>
        <v/>
      </c>
      <c r="J1711" s="9">
        <f>IF(AND(G1711&gt;0.9,G1711&lt;1),"OK","CHECK")</f>
        <v/>
      </c>
    </row>
    <row r="1712">
      <c r="A1712" s="9" t="n">
        <v>49</v>
      </c>
      <c r="B1712" s="9" t="n">
        <v>16</v>
      </c>
      <c r="C1712" s="9" t="n">
        <v>33</v>
      </c>
      <c r="D1712" s="9" t="n">
        <v>8</v>
      </c>
      <c r="E1712" s="10">
        <f>COMBIN(A1712,D1712)/COMBIN(A1712-B1712,D1712)</f>
        <v/>
      </c>
      <c r="F1712" s="11">
        <f>ROUNDUP(E1712*Controls!$B$4,4)</f>
        <v/>
      </c>
      <c r="G1712" s="12">
        <f>F1712/E1712</f>
        <v/>
      </c>
      <c r="H1712" s="10">
        <f>(A1712-B1712-(D1712-1))/(A1712-(D1712-1))</f>
        <v/>
      </c>
      <c r="I1712" s="9">
        <f>A1712&amp;'x'&amp;B1712</f>
        <v/>
      </c>
      <c r="J1712" s="9">
        <f>IF(AND(G1712&gt;0.9,G1712&lt;1),"OK","CHECK")</f>
        <v/>
      </c>
    </row>
    <row r="1713">
      <c r="A1713" s="9" t="n">
        <v>49</v>
      </c>
      <c r="B1713" s="9" t="n">
        <v>16</v>
      </c>
      <c r="C1713" s="9" t="n">
        <v>33</v>
      </c>
      <c r="D1713" s="9" t="n">
        <v>9</v>
      </c>
      <c r="E1713" s="10">
        <f>COMBIN(A1713,D1713)/COMBIN(A1713-B1713,D1713)</f>
        <v/>
      </c>
      <c r="F1713" s="11">
        <f>ROUNDUP(E1713*Controls!$B$4,4)</f>
        <v/>
      </c>
      <c r="G1713" s="12">
        <f>F1713/E1713</f>
        <v/>
      </c>
      <c r="H1713" s="10">
        <f>(A1713-B1713-(D1713-1))/(A1713-(D1713-1))</f>
        <v/>
      </c>
      <c r="I1713" s="9">
        <f>A1713&amp;'x'&amp;B1713</f>
        <v/>
      </c>
      <c r="J1713" s="9">
        <f>IF(AND(G1713&gt;0.9,G1713&lt;1),"OK","CHECK")</f>
        <v/>
      </c>
    </row>
    <row r="1714">
      <c r="A1714" s="9" t="n">
        <v>49</v>
      </c>
      <c r="B1714" s="9" t="n">
        <v>16</v>
      </c>
      <c r="C1714" s="9" t="n">
        <v>33</v>
      </c>
      <c r="D1714" s="9" t="n">
        <v>10</v>
      </c>
      <c r="E1714" s="10">
        <f>COMBIN(A1714,D1714)/COMBIN(A1714-B1714,D1714)</f>
        <v/>
      </c>
      <c r="F1714" s="11">
        <f>ROUNDUP(E1714*Controls!$B$4,4)</f>
        <v/>
      </c>
      <c r="G1714" s="12">
        <f>F1714/E1714</f>
        <v/>
      </c>
      <c r="H1714" s="10">
        <f>(A1714-B1714-(D1714-1))/(A1714-(D1714-1))</f>
        <v/>
      </c>
      <c r="I1714" s="9">
        <f>A1714&amp;'x'&amp;B1714</f>
        <v/>
      </c>
      <c r="J1714" s="9">
        <f>IF(AND(G1714&gt;0.9,G1714&lt;1),"OK","CHECK")</f>
        <v/>
      </c>
    </row>
    <row r="1715">
      <c r="A1715" s="9" t="n">
        <v>49</v>
      </c>
      <c r="B1715" s="9" t="n">
        <v>16</v>
      </c>
      <c r="C1715" s="9" t="n">
        <v>33</v>
      </c>
      <c r="D1715" s="9" t="n">
        <v>11</v>
      </c>
      <c r="E1715" s="10">
        <f>COMBIN(A1715,D1715)/COMBIN(A1715-B1715,D1715)</f>
        <v/>
      </c>
      <c r="F1715" s="11">
        <f>ROUNDUP(E1715*Controls!$B$4,4)</f>
        <v/>
      </c>
      <c r="G1715" s="12">
        <f>F1715/E1715</f>
        <v/>
      </c>
      <c r="H1715" s="10">
        <f>(A1715-B1715-(D1715-1))/(A1715-(D1715-1))</f>
        <v/>
      </c>
      <c r="I1715" s="9">
        <f>A1715&amp;'x'&amp;B1715</f>
        <v/>
      </c>
      <c r="J1715" s="9">
        <f>IF(AND(G1715&gt;0.9,G1715&lt;1),"OK","CHECK")</f>
        <v/>
      </c>
    </row>
    <row r="1716">
      <c r="A1716" s="9" t="n">
        <v>49</v>
      </c>
      <c r="B1716" s="9" t="n">
        <v>16</v>
      </c>
      <c r="C1716" s="9" t="n">
        <v>33</v>
      </c>
      <c r="D1716" s="9" t="n">
        <v>12</v>
      </c>
      <c r="E1716" s="10">
        <f>COMBIN(A1716,D1716)/COMBIN(A1716-B1716,D1716)</f>
        <v/>
      </c>
      <c r="F1716" s="11">
        <f>ROUNDUP(E1716*Controls!$B$4,4)</f>
        <v/>
      </c>
      <c r="G1716" s="12">
        <f>F1716/E1716</f>
        <v/>
      </c>
      <c r="H1716" s="10">
        <f>(A1716-B1716-(D1716-1))/(A1716-(D1716-1))</f>
        <v/>
      </c>
      <c r="I1716" s="9">
        <f>A1716&amp;'x'&amp;B1716</f>
        <v/>
      </c>
      <c r="J1716" s="9">
        <f>IF(AND(G1716&gt;0.9,G1716&lt;1),"OK","CHECK")</f>
        <v/>
      </c>
    </row>
    <row r="1717">
      <c r="A1717" s="9" t="n">
        <v>49</v>
      </c>
      <c r="B1717" s="9" t="n">
        <v>16</v>
      </c>
      <c r="C1717" s="9" t="n">
        <v>33</v>
      </c>
      <c r="D1717" s="9" t="n">
        <v>13</v>
      </c>
      <c r="E1717" s="10">
        <f>COMBIN(A1717,D1717)/COMBIN(A1717-B1717,D1717)</f>
        <v/>
      </c>
      <c r="F1717" s="11">
        <f>ROUNDUP(E1717*Controls!$B$4,4)</f>
        <v/>
      </c>
      <c r="G1717" s="12">
        <f>F1717/E1717</f>
        <v/>
      </c>
      <c r="H1717" s="10">
        <f>(A1717-B1717-(D1717-1))/(A1717-(D1717-1))</f>
        <v/>
      </c>
      <c r="I1717" s="9">
        <f>A1717&amp;'x'&amp;B1717</f>
        <v/>
      </c>
      <c r="J1717" s="9">
        <f>IF(AND(G1717&gt;0.9,G1717&lt;1),"OK","CHECK")</f>
        <v/>
      </c>
    </row>
    <row r="1718">
      <c r="A1718" s="9" t="n">
        <v>49</v>
      </c>
      <c r="B1718" s="9" t="n">
        <v>16</v>
      </c>
      <c r="C1718" s="9" t="n">
        <v>33</v>
      </c>
      <c r="D1718" s="9" t="n">
        <v>14</v>
      </c>
      <c r="E1718" s="10">
        <f>COMBIN(A1718,D1718)/COMBIN(A1718-B1718,D1718)</f>
        <v/>
      </c>
      <c r="F1718" s="11">
        <f>ROUNDUP(E1718*Controls!$B$4,4)</f>
        <v/>
      </c>
      <c r="G1718" s="12">
        <f>F1718/E1718</f>
        <v/>
      </c>
      <c r="H1718" s="10">
        <f>(A1718-B1718-(D1718-1))/(A1718-(D1718-1))</f>
        <v/>
      </c>
      <c r="I1718" s="9">
        <f>A1718&amp;'x'&amp;B1718</f>
        <v/>
      </c>
      <c r="J1718" s="9">
        <f>IF(AND(G1718&gt;0.9,G1718&lt;1),"OK","CHECK")</f>
        <v/>
      </c>
    </row>
    <row r="1719">
      <c r="A1719" s="9" t="n">
        <v>49</v>
      </c>
      <c r="B1719" s="9" t="n">
        <v>16</v>
      </c>
      <c r="C1719" s="9" t="n">
        <v>33</v>
      </c>
      <c r="D1719" s="9" t="n">
        <v>15</v>
      </c>
      <c r="E1719" s="10">
        <f>COMBIN(A1719,D1719)/COMBIN(A1719-B1719,D1719)</f>
        <v/>
      </c>
      <c r="F1719" s="11">
        <f>ROUNDUP(E1719*Controls!$B$4,4)</f>
        <v/>
      </c>
      <c r="G1719" s="12">
        <f>F1719/E1719</f>
        <v/>
      </c>
      <c r="H1719" s="10">
        <f>(A1719-B1719-(D1719-1))/(A1719-(D1719-1))</f>
        <v/>
      </c>
      <c r="I1719" s="9">
        <f>A1719&amp;'x'&amp;B1719</f>
        <v/>
      </c>
      <c r="J1719" s="9">
        <f>IF(AND(G1719&gt;0.9,G1719&lt;1),"OK","CHECK")</f>
        <v/>
      </c>
    </row>
    <row r="1720">
      <c r="A1720" s="9" t="n">
        <v>49</v>
      </c>
      <c r="B1720" s="9" t="n">
        <v>16</v>
      </c>
      <c r="C1720" s="9" t="n">
        <v>33</v>
      </c>
      <c r="D1720" s="9" t="n">
        <v>16</v>
      </c>
      <c r="E1720" s="10">
        <f>COMBIN(A1720,D1720)/COMBIN(A1720-B1720,D1720)</f>
        <v/>
      </c>
      <c r="F1720" s="11">
        <f>ROUNDUP(E1720*Controls!$B$4,4)</f>
        <v/>
      </c>
      <c r="G1720" s="12">
        <f>F1720/E1720</f>
        <v/>
      </c>
      <c r="H1720" s="10">
        <f>(A1720-B1720-(D1720-1))/(A1720-(D1720-1))</f>
        <v/>
      </c>
      <c r="I1720" s="9">
        <f>A1720&amp;'x'&amp;B1720</f>
        <v/>
      </c>
      <c r="J1720" s="9">
        <f>IF(AND(G1720&gt;0.9,G1720&lt;1),"OK","CHECK")</f>
        <v/>
      </c>
    </row>
    <row r="1721">
      <c r="A1721" s="9" t="n">
        <v>49</v>
      </c>
      <c r="B1721" s="9" t="n">
        <v>16</v>
      </c>
      <c r="C1721" s="9" t="n">
        <v>33</v>
      </c>
      <c r="D1721" s="9" t="n">
        <v>17</v>
      </c>
      <c r="E1721" s="10">
        <f>COMBIN(A1721,D1721)/COMBIN(A1721-B1721,D1721)</f>
        <v/>
      </c>
      <c r="F1721" s="11">
        <f>ROUNDUP(E1721*Controls!$B$4,4)</f>
        <v/>
      </c>
      <c r="G1721" s="12">
        <f>F1721/E1721</f>
        <v/>
      </c>
      <c r="H1721" s="10">
        <f>(A1721-B1721-(D1721-1))/(A1721-(D1721-1))</f>
        <v/>
      </c>
      <c r="I1721" s="9">
        <f>A1721&amp;'x'&amp;B1721</f>
        <v/>
      </c>
      <c r="J1721" s="9">
        <f>IF(AND(G1721&gt;0.9,G1721&lt;1),"OK","CHECK")</f>
        <v/>
      </c>
    </row>
    <row r="1722">
      <c r="A1722" s="9" t="n">
        <v>49</v>
      </c>
      <c r="B1722" s="9" t="n">
        <v>16</v>
      </c>
      <c r="C1722" s="9" t="n">
        <v>33</v>
      </c>
      <c r="D1722" s="9" t="n">
        <v>18</v>
      </c>
      <c r="E1722" s="10">
        <f>COMBIN(A1722,D1722)/COMBIN(A1722-B1722,D1722)</f>
        <v/>
      </c>
      <c r="F1722" s="11">
        <f>ROUNDUP(E1722*Controls!$B$4,4)</f>
        <v/>
      </c>
      <c r="G1722" s="12">
        <f>F1722/E1722</f>
        <v/>
      </c>
      <c r="H1722" s="10">
        <f>(A1722-B1722-(D1722-1))/(A1722-(D1722-1))</f>
        <v/>
      </c>
      <c r="I1722" s="9">
        <f>A1722&amp;'x'&amp;B1722</f>
        <v/>
      </c>
      <c r="J1722" s="9">
        <f>IF(AND(G1722&gt;0.9,G1722&lt;1),"OK","CHECK")</f>
        <v/>
      </c>
    </row>
    <row r="1723">
      <c r="A1723" s="9" t="n">
        <v>49</v>
      </c>
      <c r="B1723" s="9" t="n">
        <v>16</v>
      </c>
      <c r="C1723" s="9" t="n">
        <v>33</v>
      </c>
      <c r="D1723" s="9" t="n">
        <v>19</v>
      </c>
      <c r="E1723" s="10">
        <f>COMBIN(A1723,D1723)/COMBIN(A1723-B1723,D1723)</f>
        <v/>
      </c>
      <c r="F1723" s="11">
        <f>ROUNDUP(E1723*Controls!$B$4,4)</f>
        <v/>
      </c>
      <c r="G1723" s="12">
        <f>F1723/E1723</f>
        <v/>
      </c>
      <c r="H1723" s="10">
        <f>(A1723-B1723-(D1723-1))/(A1723-(D1723-1))</f>
        <v/>
      </c>
      <c r="I1723" s="9">
        <f>A1723&amp;'x'&amp;B1723</f>
        <v/>
      </c>
      <c r="J1723" s="9">
        <f>IF(AND(G1723&gt;0.9,G1723&lt;1),"OK","CHECK")</f>
        <v/>
      </c>
    </row>
    <row r="1724">
      <c r="A1724" s="9" t="n">
        <v>49</v>
      </c>
      <c r="B1724" s="9" t="n">
        <v>16</v>
      </c>
      <c r="C1724" s="9" t="n">
        <v>33</v>
      </c>
      <c r="D1724" s="9" t="n">
        <v>20</v>
      </c>
      <c r="E1724" s="10">
        <f>COMBIN(A1724,D1724)/COMBIN(A1724-B1724,D1724)</f>
        <v/>
      </c>
      <c r="F1724" s="11">
        <f>ROUNDUP(E1724*Controls!$B$4,4)</f>
        <v/>
      </c>
      <c r="G1724" s="12">
        <f>F1724/E1724</f>
        <v/>
      </c>
      <c r="H1724" s="10">
        <f>(A1724-B1724-(D1724-1))/(A1724-(D1724-1))</f>
        <v/>
      </c>
      <c r="I1724" s="9">
        <f>A1724&amp;'x'&amp;B1724</f>
        <v/>
      </c>
      <c r="J1724" s="9">
        <f>IF(AND(G1724&gt;0.9,G1724&lt;1),"OK","CHECK")</f>
        <v/>
      </c>
    </row>
    <row r="1725">
      <c r="A1725" s="9" t="n">
        <v>49</v>
      </c>
      <c r="B1725" s="9" t="n">
        <v>16</v>
      </c>
      <c r="C1725" s="9" t="n">
        <v>33</v>
      </c>
      <c r="D1725" s="9" t="n">
        <v>21</v>
      </c>
      <c r="E1725" s="10">
        <f>COMBIN(A1725,D1725)/COMBIN(A1725-B1725,D1725)</f>
        <v/>
      </c>
      <c r="F1725" s="11">
        <f>ROUNDUP(E1725*Controls!$B$4,4)</f>
        <v/>
      </c>
      <c r="G1725" s="12">
        <f>F1725/E1725</f>
        <v/>
      </c>
      <c r="H1725" s="10">
        <f>(A1725-B1725-(D1725-1))/(A1725-(D1725-1))</f>
        <v/>
      </c>
      <c r="I1725" s="9">
        <f>A1725&amp;'x'&amp;B1725</f>
        <v/>
      </c>
      <c r="J1725" s="9">
        <f>IF(AND(G1725&gt;0.9,G1725&lt;1),"OK","CHECK")</f>
        <v/>
      </c>
    </row>
    <row r="1726">
      <c r="A1726" s="9" t="n">
        <v>49</v>
      </c>
      <c r="B1726" s="9" t="n">
        <v>16</v>
      </c>
      <c r="C1726" s="9" t="n">
        <v>33</v>
      </c>
      <c r="D1726" s="9" t="n">
        <v>22</v>
      </c>
      <c r="E1726" s="10">
        <f>COMBIN(A1726,D1726)/COMBIN(A1726-B1726,D1726)</f>
        <v/>
      </c>
      <c r="F1726" s="11">
        <f>ROUNDUP(E1726*Controls!$B$4,4)</f>
        <v/>
      </c>
      <c r="G1726" s="12">
        <f>F1726/E1726</f>
        <v/>
      </c>
      <c r="H1726" s="10">
        <f>(A1726-B1726-(D1726-1))/(A1726-(D1726-1))</f>
        <v/>
      </c>
      <c r="I1726" s="9">
        <f>A1726&amp;'x'&amp;B1726</f>
        <v/>
      </c>
      <c r="J1726" s="9">
        <f>IF(AND(G1726&gt;0.9,G1726&lt;1),"OK","CHECK")</f>
        <v/>
      </c>
    </row>
    <row r="1727">
      <c r="A1727" s="9" t="n">
        <v>49</v>
      </c>
      <c r="B1727" s="9" t="n">
        <v>16</v>
      </c>
      <c r="C1727" s="9" t="n">
        <v>33</v>
      </c>
      <c r="D1727" s="9" t="n">
        <v>23</v>
      </c>
      <c r="E1727" s="10">
        <f>COMBIN(A1727,D1727)/COMBIN(A1727-B1727,D1727)</f>
        <v/>
      </c>
      <c r="F1727" s="11">
        <f>ROUNDUP(E1727*Controls!$B$4,4)</f>
        <v/>
      </c>
      <c r="G1727" s="12">
        <f>F1727/E1727</f>
        <v/>
      </c>
      <c r="H1727" s="10">
        <f>(A1727-B1727-(D1727-1))/(A1727-(D1727-1))</f>
        <v/>
      </c>
      <c r="I1727" s="9">
        <f>A1727&amp;'x'&amp;B1727</f>
        <v/>
      </c>
      <c r="J1727" s="9">
        <f>IF(AND(G1727&gt;0.9,G1727&lt;1),"OK","CHECK")</f>
        <v/>
      </c>
    </row>
    <row r="1728">
      <c r="A1728" s="9" t="n">
        <v>49</v>
      </c>
      <c r="B1728" s="9" t="n">
        <v>16</v>
      </c>
      <c r="C1728" s="9" t="n">
        <v>33</v>
      </c>
      <c r="D1728" s="9" t="n">
        <v>24</v>
      </c>
      <c r="E1728" s="10">
        <f>COMBIN(A1728,D1728)/COMBIN(A1728-B1728,D1728)</f>
        <v/>
      </c>
      <c r="F1728" s="11">
        <f>ROUNDUP(E1728*Controls!$B$4,4)</f>
        <v/>
      </c>
      <c r="G1728" s="12">
        <f>F1728/E1728</f>
        <v/>
      </c>
      <c r="H1728" s="10">
        <f>(A1728-B1728-(D1728-1))/(A1728-(D1728-1))</f>
        <v/>
      </c>
      <c r="I1728" s="9">
        <f>A1728&amp;'x'&amp;B1728</f>
        <v/>
      </c>
      <c r="J1728" s="9">
        <f>IF(AND(G1728&gt;0.9,G1728&lt;1),"OK","CHECK")</f>
        <v/>
      </c>
    </row>
    <row r="1729">
      <c r="A1729" s="9" t="n">
        <v>49</v>
      </c>
      <c r="B1729" s="9" t="n">
        <v>16</v>
      </c>
      <c r="C1729" s="9" t="n">
        <v>33</v>
      </c>
      <c r="D1729" s="9" t="n">
        <v>25</v>
      </c>
      <c r="E1729" s="10">
        <f>COMBIN(A1729,D1729)/COMBIN(A1729-B1729,D1729)</f>
        <v/>
      </c>
      <c r="F1729" s="11">
        <f>ROUNDUP(E1729*Controls!$B$4,4)</f>
        <v/>
      </c>
      <c r="G1729" s="12">
        <f>F1729/E1729</f>
        <v/>
      </c>
      <c r="H1729" s="10">
        <f>(A1729-B1729-(D1729-1))/(A1729-(D1729-1))</f>
        <v/>
      </c>
      <c r="I1729" s="9">
        <f>A1729&amp;'x'&amp;B1729</f>
        <v/>
      </c>
      <c r="J1729" s="9">
        <f>IF(AND(G1729&gt;0.9,G1729&lt;1),"OK","CHECK")</f>
        <v/>
      </c>
    </row>
    <row r="1730">
      <c r="A1730" s="9" t="n">
        <v>49</v>
      </c>
      <c r="B1730" s="9" t="n">
        <v>16</v>
      </c>
      <c r="C1730" s="9" t="n">
        <v>33</v>
      </c>
      <c r="D1730" s="9" t="n">
        <v>26</v>
      </c>
      <c r="E1730" s="10">
        <f>COMBIN(A1730,D1730)/COMBIN(A1730-B1730,D1730)</f>
        <v/>
      </c>
      <c r="F1730" s="11">
        <f>ROUNDUP(E1730*Controls!$B$4,4)</f>
        <v/>
      </c>
      <c r="G1730" s="12">
        <f>F1730/E1730</f>
        <v/>
      </c>
      <c r="H1730" s="10">
        <f>(A1730-B1730-(D1730-1))/(A1730-(D1730-1))</f>
        <v/>
      </c>
      <c r="I1730" s="9">
        <f>A1730&amp;'x'&amp;B1730</f>
        <v/>
      </c>
      <c r="J1730" s="9">
        <f>IF(AND(G1730&gt;0.9,G1730&lt;1),"OK","CHECK")</f>
        <v/>
      </c>
    </row>
    <row r="1731">
      <c r="A1731" s="9" t="n">
        <v>49</v>
      </c>
      <c r="B1731" s="9" t="n">
        <v>16</v>
      </c>
      <c r="C1731" s="9" t="n">
        <v>33</v>
      </c>
      <c r="D1731" s="9" t="n">
        <v>27</v>
      </c>
      <c r="E1731" s="10">
        <f>COMBIN(A1731,D1731)/COMBIN(A1731-B1731,D1731)</f>
        <v/>
      </c>
      <c r="F1731" s="11">
        <f>ROUNDUP(E1731*Controls!$B$4,4)</f>
        <v/>
      </c>
      <c r="G1731" s="12">
        <f>F1731/E1731</f>
        <v/>
      </c>
      <c r="H1731" s="10">
        <f>(A1731-B1731-(D1731-1))/(A1731-(D1731-1))</f>
        <v/>
      </c>
      <c r="I1731" s="9">
        <f>A1731&amp;'x'&amp;B1731</f>
        <v/>
      </c>
      <c r="J1731" s="9">
        <f>IF(AND(G1731&gt;0.9,G1731&lt;1),"OK","CHECK")</f>
        <v/>
      </c>
    </row>
    <row r="1732">
      <c r="A1732" s="9" t="n">
        <v>49</v>
      </c>
      <c r="B1732" s="9" t="n">
        <v>16</v>
      </c>
      <c r="C1732" s="9" t="n">
        <v>33</v>
      </c>
      <c r="D1732" s="9" t="n">
        <v>28</v>
      </c>
      <c r="E1732" s="10">
        <f>COMBIN(A1732,D1732)/COMBIN(A1732-B1732,D1732)</f>
        <v/>
      </c>
      <c r="F1732" s="11">
        <f>ROUNDUP(E1732*Controls!$B$4,4)</f>
        <v/>
      </c>
      <c r="G1732" s="12">
        <f>F1732/E1732</f>
        <v/>
      </c>
      <c r="H1732" s="10">
        <f>(A1732-B1732-(D1732-1))/(A1732-(D1732-1))</f>
        <v/>
      </c>
      <c r="I1732" s="9">
        <f>A1732&amp;'x'&amp;B1732</f>
        <v/>
      </c>
      <c r="J1732" s="9">
        <f>IF(AND(G1732&gt;0.9,G1732&lt;1),"OK","CHECK")</f>
        <v/>
      </c>
    </row>
    <row r="1733">
      <c r="A1733" s="9" t="n">
        <v>49</v>
      </c>
      <c r="B1733" s="9" t="n">
        <v>16</v>
      </c>
      <c r="C1733" s="9" t="n">
        <v>33</v>
      </c>
      <c r="D1733" s="9" t="n">
        <v>29</v>
      </c>
      <c r="E1733" s="10">
        <f>COMBIN(A1733,D1733)/COMBIN(A1733-B1733,D1733)</f>
        <v/>
      </c>
      <c r="F1733" s="11">
        <f>ROUNDUP(E1733*Controls!$B$4,4)</f>
        <v/>
      </c>
      <c r="G1733" s="12">
        <f>F1733/E1733</f>
        <v/>
      </c>
      <c r="H1733" s="10">
        <f>(A1733-B1733-(D1733-1))/(A1733-(D1733-1))</f>
        <v/>
      </c>
      <c r="I1733" s="9">
        <f>A1733&amp;'x'&amp;B1733</f>
        <v/>
      </c>
      <c r="J1733" s="9">
        <f>IF(AND(G1733&gt;0.9,G1733&lt;1),"OK","CHECK")</f>
        <v/>
      </c>
    </row>
    <row r="1734">
      <c r="A1734" s="9" t="n">
        <v>49</v>
      </c>
      <c r="B1734" s="9" t="n">
        <v>16</v>
      </c>
      <c r="C1734" s="9" t="n">
        <v>33</v>
      </c>
      <c r="D1734" s="9" t="n">
        <v>30</v>
      </c>
      <c r="E1734" s="10">
        <f>COMBIN(A1734,D1734)/COMBIN(A1734-B1734,D1734)</f>
        <v/>
      </c>
      <c r="F1734" s="11">
        <f>ROUNDUP(E1734*Controls!$B$4,4)</f>
        <v/>
      </c>
      <c r="G1734" s="12">
        <f>F1734/E1734</f>
        <v/>
      </c>
      <c r="H1734" s="10">
        <f>(A1734-B1734-(D1734-1))/(A1734-(D1734-1))</f>
        <v/>
      </c>
      <c r="I1734" s="9">
        <f>A1734&amp;'x'&amp;B1734</f>
        <v/>
      </c>
      <c r="J1734" s="9">
        <f>IF(AND(G1734&gt;0.9,G1734&lt;1),"OK","CHECK")</f>
        <v/>
      </c>
    </row>
    <row r="1735">
      <c r="A1735" s="9" t="n">
        <v>49</v>
      </c>
      <c r="B1735" s="9" t="n">
        <v>16</v>
      </c>
      <c r="C1735" s="9" t="n">
        <v>33</v>
      </c>
      <c r="D1735" s="9" t="n">
        <v>31</v>
      </c>
      <c r="E1735" s="10">
        <f>COMBIN(A1735,D1735)/COMBIN(A1735-B1735,D1735)</f>
        <v/>
      </c>
      <c r="F1735" s="11">
        <f>ROUNDUP(E1735*Controls!$B$4,4)</f>
        <v/>
      </c>
      <c r="G1735" s="12">
        <f>F1735/E1735</f>
        <v/>
      </c>
      <c r="H1735" s="10">
        <f>(A1735-B1735-(D1735-1))/(A1735-(D1735-1))</f>
        <v/>
      </c>
      <c r="I1735" s="9">
        <f>A1735&amp;'x'&amp;B1735</f>
        <v/>
      </c>
      <c r="J1735" s="9">
        <f>IF(AND(G1735&gt;0.9,G1735&lt;1),"OK","CHECK")</f>
        <v/>
      </c>
    </row>
    <row r="1736">
      <c r="A1736" s="9" t="n">
        <v>49</v>
      </c>
      <c r="B1736" s="9" t="n">
        <v>16</v>
      </c>
      <c r="C1736" s="9" t="n">
        <v>33</v>
      </c>
      <c r="D1736" s="9" t="n">
        <v>32</v>
      </c>
      <c r="E1736" s="10">
        <f>COMBIN(A1736,D1736)/COMBIN(A1736-B1736,D1736)</f>
        <v/>
      </c>
      <c r="F1736" s="11">
        <f>ROUNDUP(E1736*Controls!$B$4,4)</f>
        <v/>
      </c>
      <c r="G1736" s="12">
        <f>F1736/E1736</f>
        <v/>
      </c>
      <c r="H1736" s="10">
        <f>(A1736-B1736-(D1736-1))/(A1736-(D1736-1))</f>
        <v/>
      </c>
      <c r="I1736" s="9">
        <f>A1736&amp;'x'&amp;B1736</f>
        <v/>
      </c>
      <c r="J1736" s="9">
        <f>IF(AND(G1736&gt;0.9,G1736&lt;1),"OK","CHECK")</f>
        <v/>
      </c>
    </row>
    <row r="1737">
      <c r="A1737" s="9" t="n">
        <v>49</v>
      </c>
      <c r="B1737" s="9" t="n">
        <v>16</v>
      </c>
      <c r="C1737" s="9" t="n">
        <v>33</v>
      </c>
      <c r="D1737" s="9" t="n">
        <v>33</v>
      </c>
      <c r="E1737" s="10">
        <f>COMBIN(A1737,D1737)/COMBIN(A1737-B1737,D1737)</f>
        <v/>
      </c>
      <c r="F1737" s="11">
        <f>ROUNDUP(E1737*Controls!$B$4,4)</f>
        <v/>
      </c>
      <c r="G1737" s="12">
        <f>F1737/E1737</f>
        <v/>
      </c>
      <c r="H1737" s="10">
        <f>(A1737-B1737-(D1737-1))/(A1737-(D1737-1))</f>
        <v/>
      </c>
      <c r="I1737" s="9">
        <f>A1737&amp;'x'&amp;B1737</f>
        <v/>
      </c>
      <c r="J1737" s="9">
        <f>IF(AND(G1737&gt;0.9,G1737&lt;1),"OK","CHECK")</f>
        <v/>
      </c>
    </row>
    <row r="1738">
      <c r="A1738" s="9" t="n">
        <v>49</v>
      </c>
      <c r="B1738" s="9" t="n">
        <v>17</v>
      </c>
      <c r="C1738" s="9" t="n">
        <v>32</v>
      </c>
      <c r="D1738" s="9" t="n">
        <v>1</v>
      </c>
      <c r="E1738" s="10">
        <f>COMBIN(A1738,D1738)/COMBIN(A1738-B1738,D1738)</f>
        <v/>
      </c>
      <c r="F1738" s="11">
        <f>ROUNDUP(E1738*Controls!$B$4,4)</f>
        <v/>
      </c>
      <c r="G1738" s="12">
        <f>F1738/E1738</f>
        <v/>
      </c>
      <c r="H1738" s="10">
        <f>(A1738-B1738-(D1738-1))/(A1738-(D1738-1))</f>
        <v/>
      </c>
      <c r="I1738" s="9">
        <f>A1738&amp;'x'&amp;B1738</f>
        <v/>
      </c>
      <c r="J1738" s="9">
        <f>IF(AND(G1738&gt;0.9,G1738&lt;1),"OK","CHECK")</f>
        <v/>
      </c>
    </row>
    <row r="1739">
      <c r="A1739" s="9" t="n">
        <v>49</v>
      </c>
      <c r="B1739" s="9" t="n">
        <v>17</v>
      </c>
      <c r="C1739" s="9" t="n">
        <v>32</v>
      </c>
      <c r="D1739" s="9" t="n">
        <v>2</v>
      </c>
      <c r="E1739" s="10">
        <f>COMBIN(A1739,D1739)/COMBIN(A1739-B1739,D1739)</f>
        <v/>
      </c>
      <c r="F1739" s="11">
        <f>ROUNDUP(E1739*Controls!$B$4,4)</f>
        <v/>
      </c>
      <c r="G1739" s="12">
        <f>F1739/E1739</f>
        <v/>
      </c>
      <c r="H1739" s="10">
        <f>(A1739-B1739-(D1739-1))/(A1739-(D1739-1))</f>
        <v/>
      </c>
      <c r="I1739" s="9">
        <f>A1739&amp;'x'&amp;B1739</f>
        <v/>
      </c>
      <c r="J1739" s="9">
        <f>IF(AND(G1739&gt;0.9,G1739&lt;1),"OK","CHECK")</f>
        <v/>
      </c>
    </row>
    <row r="1740">
      <c r="A1740" s="9" t="n">
        <v>49</v>
      </c>
      <c r="B1740" s="9" t="n">
        <v>17</v>
      </c>
      <c r="C1740" s="9" t="n">
        <v>32</v>
      </c>
      <c r="D1740" s="9" t="n">
        <v>3</v>
      </c>
      <c r="E1740" s="10">
        <f>COMBIN(A1740,D1740)/COMBIN(A1740-B1740,D1740)</f>
        <v/>
      </c>
      <c r="F1740" s="11">
        <f>ROUNDUP(E1740*Controls!$B$4,4)</f>
        <v/>
      </c>
      <c r="G1740" s="12">
        <f>F1740/E1740</f>
        <v/>
      </c>
      <c r="H1740" s="10">
        <f>(A1740-B1740-(D1740-1))/(A1740-(D1740-1))</f>
        <v/>
      </c>
      <c r="I1740" s="9">
        <f>A1740&amp;'x'&amp;B1740</f>
        <v/>
      </c>
      <c r="J1740" s="9">
        <f>IF(AND(G1740&gt;0.9,G1740&lt;1),"OK","CHECK")</f>
        <v/>
      </c>
    </row>
    <row r="1741">
      <c r="A1741" s="9" t="n">
        <v>49</v>
      </c>
      <c r="B1741" s="9" t="n">
        <v>17</v>
      </c>
      <c r="C1741" s="9" t="n">
        <v>32</v>
      </c>
      <c r="D1741" s="9" t="n">
        <v>4</v>
      </c>
      <c r="E1741" s="10">
        <f>COMBIN(A1741,D1741)/COMBIN(A1741-B1741,D1741)</f>
        <v/>
      </c>
      <c r="F1741" s="11">
        <f>ROUNDUP(E1741*Controls!$B$4,4)</f>
        <v/>
      </c>
      <c r="G1741" s="12">
        <f>F1741/E1741</f>
        <v/>
      </c>
      <c r="H1741" s="10">
        <f>(A1741-B1741-(D1741-1))/(A1741-(D1741-1))</f>
        <v/>
      </c>
      <c r="I1741" s="9">
        <f>A1741&amp;'x'&amp;B1741</f>
        <v/>
      </c>
      <c r="J1741" s="9">
        <f>IF(AND(G1741&gt;0.9,G1741&lt;1),"OK","CHECK")</f>
        <v/>
      </c>
    </row>
    <row r="1742">
      <c r="A1742" s="9" t="n">
        <v>49</v>
      </c>
      <c r="B1742" s="9" t="n">
        <v>17</v>
      </c>
      <c r="C1742" s="9" t="n">
        <v>32</v>
      </c>
      <c r="D1742" s="9" t="n">
        <v>5</v>
      </c>
      <c r="E1742" s="10">
        <f>COMBIN(A1742,D1742)/COMBIN(A1742-B1742,D1742)</f>
        <v/>
      </c>
      <c r="F1742" s="11">
        <f>ROUNDUP(E1742*Controls!$B$4,4)</f>
        <v/>
      </c>
      <c r="G1742" s="12">
        <f>F1742/E1742</f>
        <v/>
      </c>
      <c r="H1742" s="10">
        <f>(A1742-B1742-(D1742-1))/(A1742-(D1742-1))</f>
        <v/>
      </c>
      <c r="I1742" s="9">
        <f>A1742&amp;'x'&amp;B1742</f>
        <v/>
      </c>
      <c r="J1742" s="9">
        <f>IF(AND(G1742&gt;0.9,G1742&lt;1),"OK","CHECK")</f>
        <v/>
      </c>
    </row>
    <row r="1743">
      <c r="A1743" s="9" t="n">
        <v>49</v>
      </c>
      <c r="B1743" s="9" t="n">
        <v>17</v>
      </c>
      <c r="C1743" s="9" t="n">
        <v>32</v>
      </c>
      <c r="D1743" s="9" t="n">
        <v>6</v>
      </c>
      <c r="E1743" s="10">
        <f>COMBIN(A1743,D1743)/COMBIN(A1743-B1743,D1743)</f>
        <v/>
      </c>
      <c r="F1743" s="11">
        <f>ROUNDUP(E1743*Controls!$B$4,4)</f>
        <v/>
      </c>
      <c r="G1743" s="12">
        <f>F1743/E1743</f>
        <v/>
      </c>
      <c r="H1743" s="10">
        <f>(A1743-B1743-(D1743-1))/(A1743-(D1743-1))</f>
        <v/>
      </c>
      <c r="I1743" s="9">
        <f>A1743&amp;'x'&amp;B1743</f>
        <v/>
      </c>
      <c r="J1743" s="9">
        <f>IF(AND(G1743&gt;0.9,G1743&lt;1),"OK","CHECK")</f>
        <v/>
      </c>
    </row>
    <row r="1744">
      <c r="A1744" s="9" t="n">
        <v>49</v>
      </c>
      <c r="B1744" s="9" t="n">
        <v>17</v>
      </c>
      <c r="C1744" s="9" t="n">
        <v>32</v>
      </c>
      <c r="D1744" s="9" t="n">
        <v>7</v>
      </c>
      <c r="E1744" s="10">
        <f>COMBIN(A1744,D1744)/COMBIN(A1744-B1744,D1744)</f>
        <v/>
      </c>
      <c r="F1744" s="11">
        <f>ROUNDUP(E1744*Controls!$B$4,4)</f>
        <v/>
      </c>
      <c r="G1744" s="12">
        <f>F1744/E1744</f>
        <v/>
      </c>
      <c r="H1744" s="10">
        <f>(A1744-B1744-(D1744-1))/(A1744-(D1744-1))</f>
        <v/>
      </c>
      <c r="I1744" s="9">
        <f>A1744&amp;'x'&amp;B1744</f>
        <v/>
      </c>
      <c r="J1744" s="9">
        <f>IF(AND(G1744&gt;0.9,G1744&lt;1),"OK","CHECK")</f>
        <v/>
      </c>
    </row>
    <row r="1745">
      <c r="A1745" s="9" t="n">
        <v>49</v>
      </c>
      <c r="B1745" s="9" t="n">
        <v>17</v>
      </c>
      <c r="C1745" s="9" t="n">
        <v>32</v>
      </c>
      <c r="D1745" s="9" t="n">
        <v>8</v>
      </c>
      <c r="E1745" s="10">
        <f>COMBIN(A1745,D1745)/COMBIN(A1745-B1745,D1745)</f>
        <v/>
      </c>
      <c r="F1745" s="11">
        <f>ROUNDUP(E1745*Controls!$B$4,4)</f>
        <v/>
      </c>
      <c r="G1745" s="12">
        <f>F1745/E1745</f>
        <v/>
      </c>
      <c r="H1745" s="10">
        <f>(A1745-B1745-(D1745-1))/(A1745-(D1745-1))</f>
        <v/>
      </c>
      <c r="I1745" s="9">
        <f>A1745&amp;'x'&amp;B1745</f>
        <v/>
      </c>
      <c r="J1745" s="9">
        <f>IF(AND(G1745&gt;0.9,G1745&lt;1),"OK","CHECK")</f>
        <v/>
      </c>
    </row>
    <row r="1746">
      <c r="A1746" s="9" t="n">
        <v>49</v>
      </c>
      <c r="B1746" s="9" t="n">
        <v>17</v>
      </c>
      <c r="C1746" s="9" t="n">
        <v>32</v>
      </c>
      <c r="D1746" s="9" t="n">
        <v>9</v>
      </c>
      <c r="E1746" s="10">
        <f>COMBIN(A1746,D1746)/COMBIN(A1746-B1746,D1746)</f>
        <v/>
      </c>
      <c r="F1746" s="11">
        <f>ROUNDUP(E1746*Controls!$B$4,4)</f>
        <v/>
      </c>
      <c r="G1746" s="12">
        <f>F1746/E1746</f>
        <v/>
      </c>
      <c r="H1746" s="10">
        <f>(A1746-B1746-(D1746-1))/(A1746-(D1746-1))</f>
        <v/>
      </c>
      <c r="I1746" s="9">
        <f>A1746&amp;'x'&amp;B1746</f>
        <v/>
      </c>
      <c r="J1746" s="9">
        <f>IF(AND(G1746&gt;0.9,G1746&lt;1),"OK","CHECK")</f>
        <v/>
      </c>
    </row>
    <row r="1747">
      <c r="A1747" s="9" t="n">
        <v>49</v>
      </c>
      <c r="B1747" s="9" t="n">
        <v>17</v>
      </c>
      <c r="C1747" s="9" t="n">
        <v>32</v>
      </c>
      <c r="D1747" s="9" t="n">
        <v>10</v>
      </c>
      <c r="E1747" s="10">
        <f>COMBIN(A1747,D1747)/COMBIN(A1747-B1747,D1747)</f>
        <v/>
      </c>
      <c r="F1747" s="11">
        <f>ROUNDUP(E1747*Controls!$B$4,4)</f>
        <v/>
      </c>
      <c r="G1747" s="12">
        <f>F1747/E1747</f>
        <v/>
      </c>
      <c r="H1747" s="10">
        <f>(A1747-B1747-(D1747-1))/(A1747-(D1747-1))</f>
        <v/>
      </c>
      <c r="I1747" s="9">
        <f>A1747&amp;'x'&amp;B1747</f>
        <v/>
      </c>
      <c r="J1747" s="9">
        <f>IF(AND(G1747&gt;0.9,G1747&lt;1),"OK","CHECK")</f>
        <v/>
      </c>
    </row>
    <row r="1748">
      <c r="A1748" s="9" t="n">
        <v>49</v>
      </c>
      <c r="B1748" s="9" t="n">
        <v>17</v>
      </c>
      <c r="C1748" s="9" t="n">
        <v>32</v>
      </c>
      <c r="D1748" s="9" t="n">
        <v>11</v>
      </c>
      <c r="E1748" s="10">
        <f>COMBIN(A1748,D1748)/COMBIN(A1748-B1748,D1748)</f>
        <v/>
      </c>
      <c r="F1748" s="11">
        <f>ROUNDUP(E1748*Controls!$B$4,4)</f>
        <v/>
      </c>
      <c r="G1748" s="12">
        <f>F1748/E1748</f>
        <v/>
      </c>
      <c r="H1748" s="10">
        <f>(A1748-B1748-(D1748-1))/(A1748-(D1748-1))</f>
        <v/>
      </c>
      <c r="I1748" s="9">
        <f>A1748&amp;'x'&amp;B1748</f>
        <v/>
      </c>
      <c r="J1748" s="9">
        <f>IF(AND(G1748&gt;0.9,G1748&lt;1),"OK","CHECK")</f>
        <v/>
      </c>
    </row>
    <row r="1749">
      <c r="A1749" s="9" t="n">
        <v>49</v>
      </c>
      <c r="B1749" s="9" t="n">
        <v>17</v>
      </c>
      <c r="C1749" s="9" t="n">
        <v>32</v>
      </c>
      <c r="D1749" s="9" t="n">
        <v>12</v>
      </c>
      <c r="E1749" s="10">
        <f>COMBIN(A1749,D1749)/COMBIN(A1749-B1749,D1749)</f>
        <v/>
      </c>
      <c r="F1749" s="11">
        <f>ROUNDUP(E1749*Controls!$B$4,4)</f>
        <v/>
      </c>
      <c r="G1749" s="12">
        <f>F1749/E1749</f>
        <v/>
      </c>
      <c r="H1749" s="10">
        <f>(A1749-B1749-(D1749-1))/(A1749-(D1749-1))</f>
        <v/>
      </c>
      <c r="I1749" s="9">
        <f>A1749&amp;'x'&amp;B1749</f>
        <v/>
      </c>
      <c r="J1749" s="9">
        <f>IF(AND(G1749&gt;0.9,G1749&lt;1),"OK","CHECK")</f>
        <v/>
      </c>
    </row>
    <row r="1750">
      <c r="A1750" s="9" t="n">
        <v>49</v>
      </c>
      <c r="B1750" s="9" t="n">
        <v>17</v>
      </c>
      <c r="C1750" s="9" t="n">
        <v>32</v>
      </c>
      <c r="D1750" s="9" t="n">
        <v>13</v>
      </c>
      <c r="E1750" s="10">
        <f>COMBIN(A1750,D1750)/COMBIN(A1750-B1750,D1750)</f>
        <v/>
      </c>
      <c r="F1750" s="11">
        <f>ROUNDUP(E1750*Controls!$B$4,4)</f>
        <v/>
      </c>
      <c r="G1750" s="12">
        <f>F1750/E1750</f>
        <v/>
      </c>
      <c r="H1750" s="10">
        <f>(A1750-B1750-(D1750-1))/(A1750-(D1750-1))</f>
        <v/>
      </c>
      <c r="I1750" s="9">
        <f>A1750&amp;'x'&amp;B1750</f>
        <v/>
      </c>
      <c r="J1750" s="9">
        <f>IF(AND(G1750&gt;0.9,G1750&lt;1),"OK","CHECK")</f>
        <v/>
      </c>
    </row>
    <row r="1751">
      <c r="A1751" s="9" t="n">
        <v>49</v>
      </c>
      <c r="B1751" s="9" t="n">
        <v>17</v>
      </c>
      <c r="C1751" s="9" t="n">
        <v>32</v>
      </c>
      <c r="D1751" s="9" t="n">
        <v>14</v>
      </c>
      <c r="E1751" s="10">
        <f>COMBIN(A1751,D1751)/COMBIN(A1751-B1751,D1751)</f>
        <v/>
      </c>
      <c r="F1751" s="11">
        <f>ROUNDUP(E1751*Controls!$B$4,4)</f>
        <v/>
      </c>
      <c r="G1751" s="12">
        <f>F1751/E1751</f>
        <v/>
      </c>
      <c r="H1751" s="10">
        <f>(A1751-B1751-(D1751-1))/(A1751-(D1751-1))</f>
        <v/>
      </c>
      <c r="I1751" s="9">
        <f>A1751&amp;'x'&amp;B1751</f>
        <v/>
      </c>
      <c r="J1751" s="9">
        <f>IF(AND(G1751&gt;0.9,G1751&lt;1),"OK","CHECK")</f>
        <v/>
      </c>
    </row>
    <row r="1752">
      <c r="A1752" s="9" t="n">
        <v>49</v>
      </c>
      <c r="B1752" s="9" t="n">
        <v>17</v>
      </c>
      <c r="C1752" s="9" t="n">
        <v>32</v>
      </c>
      <c r="D1752" s="9" t="n">
        <v>15</v>
      </c>
      <c r="E1752" s="10">
        <f>COMBIN(A1752,D1752)/COMBIN(A1752-B1752,D1752)</f>
        <v/>
      </c>
      <c r="F1752" s="11">
        <f>ROUNDUP(E1752*Controls!$B$4,4)</f>
        <v/>
      </c>
      <c r="G1752" s="12">
        <f>F1752/E1752</f>
        <v/>
      </c>
      <c r="H1752" s="10">
        <f>(A1752-B1752-(D1752-1))/(A1752-(D1752-1))</f>
        <v/>
      </c>
      <c r="I1752" s="9">
        <f>A1752&amp;'x'&amp;B1752</f>
        <v/>
      </c>
      <c r="J1752" s="9">
        <f>IF(AND(G1752&gt;0.9,G1752&lt;1),"OK","CHECK")</f>
        <v/>
      </c>
    </row>
    <row r="1753">
      <c r="A1753" s="9" t="n">
        <v>49</v>
      </c>
      <c r="B1753" s="9" t="n">
        <v>17</v>
      </c>
      <c r="C1753" s="9" t="n">
        <v>32</v>
      </c>
      <c r="D1753" s="9" t="n">
        <v>16</v>
      </c>
      <c r="E1753" s="10">
        <f>COMBIN(A1753,D1753)/COMBIN(A1753-B1753,D1753)</f>
        <v/>
      </c>
      <c r="F1753" s="11">
        <f>ROUNDUP(E1753*Controls!$B$4,4)</f>
        <v/>
      </c>
      <c r="G1753" s="12">
        <f>F1753/E1753</f>
        <v/>
      </c>
      <c r="H1753" s="10">
        <f>(A1753-B1753-(D1753-1))/(A1753-(D1753-1))</f>
        <v/>
      </c>
      <c r="I1753" s="9">
        <f>A1753&amp;'x'&amp;B1753</f>
        <v/>
      </c>
      <c r="J1753" s="9">
        <f>IF(AND(G1753&gt;0.9,G1753&lt;1),"OK","CHECK")</f>
        <v/>
      </c>
    </row>
    <row r="1754">
      <c r="A1754" s="9" t="n">
        <v>49</v>
      </c>
      <c r="B1754" s="9" t="n">
        <v>17</v>
      </c>
      <c r="C1754" s="9" t="n">
        <v>32</v>
      </c>
      <c r="D1754" s="9" t="n">
        <v>17</v>
      </c>
      <c r="E1754" s="10">
        <f>COMBIN(A1754,D1754)/COMBIN(A1754-B1754,D1754)</f>
        <v/>
      </c>
      <c r="F1754" s="11">
        <f>ROUNDUP(E1754*Controls!$B$4,4)</f>
        <v/>
      </c>
      <c r="G1754" s="12">
        <f>F1754/E1754</f>
        <v/>
      </c>
      <c r="H1754" s="10">
        <f>(A1754-B1754-(D1754-1))/(A1754-(D1754-1))</f>
        <v/>
      </c>
      <c r="I1754" s="9">
        <f>A1754&amp;'x'&amp;B1754</f>
        <v/>
      </c>
      <c r="J1754" s="9">
        <f>IF(AND(G1754&gt;0.9,G1754&lt;1),"OK","CHECK")</f>
        <v/>
      </c>
    </row>
    <row r="1755">
      <c r="A1755" s="9" t="n">
        <v>49</v>
      </c>
      <c r="B1755" s="9" t="n">
        <v>17</v>
      </c>
      <c r="C1755" s="9" t="n">
        <v>32</v>
      </c>
      <c r="D1755" s="9" t="n">
        <v>18</v>
      </c>
      <c r="E1755" s="10">
        <f>COMBIN(A1755,D1755)/COMBIN(A1755-B1755,D1755)</f>
        <v/>
      </c>
      <c r="F1755" s="11">
        <f>ROUNDUP(E1755*Controls!$B$4,4)</f>
        <v/>
      </c>
      <c r="G1755" s="12">
        <f>F1755/E1755</f>
        <v/>
      </c>
      <c r="H1755" s="10">
        <f>(A1755-B1755-(D1755-1))/(A1755-(D1755-1))</f>
        <v/>
      </c>
      <c r="I1755" s="9">
        <f>A1755&amp;'x'&amp;B1755</f>
        <v/>
      </c>
      <c r="J1755" s="9">
        <f>IF(AND(G1755&gt;0.9,G1755&lt;1),"OK","CHECK")</f>
        <v/>
      </c>
    </row>
    <row r="1756">
      <c r="A1756" s="9" t="n">
        <v>49</v>
      </c>
      <c r="B1756" s="9" t="n">
        <v>17</v>
      </c>
      <c r="C1756" s="9" t="n">
        <v>32</v>
      </c>
      <c r="D1756" s="9" t="n">
        <v>19</v>
      </c>
      <c r="E1756" s="10">
        <f>COMBIN(A1756,D1756)/COMBIN(A1756-B1756,D1756)</f>
        <v/>
      </c>
      <c r="F1756" s="11">
        <f>ROUNDUP(E1756*Controls!$B$4,4)</f>
        <v/>
      </c>
      <c r="G1756" s="12">
        <f>F1756/E1756</f>
        <v/>
      </c>
      <c r="H1756" s="10">
        <f>(A1756-B1756-(D1756-1))/(A1756-(D1756-1))</f>
        <v/>
      </c>
      <c r="I1756" s="9">
        <f>A1756&amp;'x'&amp;B1756</f>
        <v/>
      </c>
      <c r="J1756" s="9">
        <f>IF(AND(G1756&gt;0.9,G1756&lt;1),"OK","CHECK")</f>
        <v/>
      </c>
    </row>
    <row r="1757">
      <c r="A1757" s="9" t="n">
        <v>49</v>
      </c>
      <c r="B1757" s="9" t="n">
        <v>17</v>
      </c>
      <c r="C1757" s="9" t="n">
        <v>32</v>
      </c>
      <c r="D1757" s="9" t="n">
        <v>20</v>
      </c>
      <c r="E1757" s="10">
        <f>COMBIN(A1757,D1757)/COMBIN(A1757-B1757,D1757)</f>
        <v/>
      </c>
      <c r="F1757" s="11">
        <f>ROUNDUP(E1757*Controls!$B$4,4)</f>
        <v/>
      </c>
      <c r="G1757" s="12">
        <f>F1757/E1757</f>
        <v/>
      </c>
      <c r="H1757" s="10">
        <f>(A1757-B1757-(D1757-1))/(A1757-(D1757-1))</f>
        <v/>
      </c>
      <c r="I1757" s="9">
        <f>A1757&amp;'x'&amp;B1757</f>
        <v/>
      </c>
      <c r="J1757" s="9">
        <f>IF(AND(G1757&gt;0.9,G1757&lt;1),"OK","CHECK")</f>
        <v/>
      </c>
    </row>
    <row r="1758">
      <c r="A1758" s="9" t="n">
        <v>49</v>
      </c>
      <c r="B1758" s="9" t="n">
        <v>17</v>
      </c>
      <c r="C1758" s="9" t="n">
        <v>32</v>
      </c>
      <c r="D1758" s="9" t="n">
        <v>21</v>
      </c>
      <c r="E1758" s="10">
        <f>COMBIN(A1758,D1758)/COMBIN(A1758-B1758,D1758)</f>
        <v/>
      </c>
      <c r="F1758" s="11">
        <f>ROUNDUP(E1758*Controls!$B$4,4)</f>
        <v/>
      </c>
      <c r="G1758" s="12">
        <f>F1758/E1758</f>
        <v/>
      </c>
      <c r="H1758" s="10">
        <f>(A1758-B1758-(D1758-1))/(A1758-(D1758-1))</f>
        <v/>
      </c>
      <c r="I1758" s="9">
        <f>A1758&amp;'x'&amp;B1758</f>
        <v/>
      </c>
      <c r="J1758" s="9">
        <f>IF(AND(G1758&gt;0.9,G1758&lt;1),"OK","CHECK")</f>
        <v/>
      </c>
    </row>
    <row r="1759">
      <c r="A1759" s="9" t="n">
        <v>49</v>
      </c>
      <c r="B1759" s="9" t="n">
        <v>17</v>
      </c>
      <c r="C1759" s="9" t="n">
        <v>32</v>
      </c>
      <c r="D1759" s="9" t="n">
        <v>22</v>
      </c>
      <c r="E1759" s="10">
        <f>COMBIN(A1759,D1759)/COMBIN(A1759-B1759,D1759)</f>
        <v/>
      </c>
      <c r="F1759" s="11">
        <f>ROUNDUP(E1759*Controls!$B$4,4)</f>
        <v/>
      </c>
      <c r="G1759" s="12">
        <f>F1759/E1759</f>
        <v/>
      </c>
      <c r="H1759" s="10">
        <f>(A1759-B1759-(D1759-1))/(A1759-(D1759-1))</f>
        <v/>
      </c>
      <c r="I1759" s="9">
        <f>A1759&amp;'x'&amp;B1759</f>
        <v/>
      </c>
      <c r="J1759" s="9">
        <f>IF(AND(G1759&gt;0.9,G1759&lt;1),"OK","CHECK")</f>
        <v/>
      </c>
    </row>
    <row r="1760">
      <c r="A1760" s="9" t="n">
        <v>49</v>
      </c>
      <c r="B1760" s="9" t="n">
        <v>17</v>
      </c>
      <c r="C1760" s="9" t="n">
        <v>32</v>
      </c>
      <c r="D1760" s="9" t="n">
        <v>23</v>
      </c>
      <c r="E1760" s="10">
        <f>COMBIN(A1760,D1760)/COMBIN(A1760-B1760,D1760)</f>
        <v/>
      </c>
      <c r="F1760" s="11">
        <f>ROUNDUP(E1760*Controls!$B$4,4)</f>
        <v/>
      </c>
      <c r="G1760" s="12">
        <f>F1760/E1760</f>
        <v/>
      </c>
      <c r="H1760" s="10">
        <f>(A1760-B1760-(D1760-1))/(A1760-(D1760-1))</f>
        <v/>
      </c>
      <c r="I1760" s="9">
        <f>A1760&amp;'x'&amp;B1760</f>
        <v/>
      </c>
      <c r="J1760" s="9">
        <f>IF(AND(G1760&gt;0.9,G1760&lt;1),"OK","CHECK")</f>
        <v/>
      </c>
    </row>
    <row r="1761">
      <c r="A1761" s="9" t="n">
        <v>49</v>
      </c>
      <c r="B1761" s="9" t="n">
        <v>17</v>
      </c>
      <c r="C1761" s="9" t="n">
        <v>32</v>
      </c>
      <c r="D1761" s="9" t="n">
        <v>24</v>
      </c>
      <c r="E1761" s="10">
        <f>COMBIN(A1761,D1761)/COMBIN(A1761-B1761,D1761)</f>
        <v/>
      </c>
      <c r="F1761" s="11">
        <f>ROUNDUP(E1761*Controls!$B$4,4)</f>
        <v/>
      </c>
      <c r="G1761" s="12">
        <f>F1761/E1761</f>
        <v/>
      </c>
      <c r="H1761" s="10">
        <f>(A1761-B1761-(D1761-1))/(A1761-(D1761-1))</f>
        <v/>
      </c>
      <c r="I1761" s="9">
        <f>A1761&amp;'x'&amp;B1761</f>
        <v/>
      </c>
      <c r="J1761" s="9">
        <f>IF(AND(G1761&gt;0.9,G1761&lt;1),"OK","CHECK")</f>
        <v/>
      </c>
    </row>
    <row r="1762">
      <c r="A1762" s="9" t="n">
        <v>49</v>
      </c>
      <c r="B1762" s="9" t="n">
        <v>17</v>
      </c>
      <c r="C1762" s="9" t="n">
        <v>32</v>
      </c>
      <c r="D1762" s="9" t="n">
        <v>25</v>
      </c>
      <c r="E1762" s="10">
        <f>COMBIN(A1762,D1762)/COMBIN(A1762-B1762,D1762)</f>
        <v/>
      </c>
      <c r="F1762" s="11">
        <f>ROUNDUP(E1762*Controls!$B$4,4)</f>
        <v/>
      </c>
      <c r="G1762" s="12">
        <f>F1762/E1762</f>
        <v/>
      </c>
      <c r="H1762" s="10">
        <f>(A1762-B1762-(D1762-1))/(A1762-(D1762-1))</f>
        <v/>
      </c>
      <c r="I1762" s="9">
        <f>A1762&amp;'x'&amp;B1762</f>
        <v/>
      </c>
      <c r="J1762" s="9">
        <f>IF(AND(G1762&gt;0.9,G1762&lt;1),"OK","CHECK")</f>
        <v/>
      </c>
    </row>
    <row r="1763">
      <c r="A1763" s="9" t="n">
        <v>49</v>
      </c>
      <c r="B1763" s="9" t="n">
        <v>17</v>
      </c>
      <c r="C1763" s="9" t="n">
        <v>32</v>
      </c>
      <c r="D1763" s="9" t="n">
        <v>26</v>
      </c>
      <c r="E1763" s="10">
        <f>COMBIN(A1763,D1763)/COMBIN(A1763-B1763,D1763)</f>
        <v/>
      </c>
      <c r="F1763" s="11">
        <f>ROUNDUP(E1763*Controls!$B$4,4)</f>
        <v/>
      </c>
      <c r="G1763" s="12">
        <f>F1763/E1763</f>
        <v/>
      </c>
      <c r="H1763" s="10">
        <f>(A1763-B1763-(D1763-1))/(A1763-(D1763-1))</f>
        <v/>
      </c>
      <c r="I1763" s="9">
        <f>A1763&amp;'x'&amp;B1763</f>
        <v/>
      </c>
      <c r="J1763" s="9">
        <f>IF(AND(G1763&gt;0.9,G1763&lt;1),"OK","CHECK")</f>
        <v/>
      </c>
    </row>
    <row r="1764">
      <c r="A1764" s="9" t="n">
        <v>49</v>
      </c>
      <c r="B1764" s="9" t="n">
        <v>17</v>
      </c>
      <c r="C1764" s="9" t="n">
        <v>32</v>
      </c>
      <c r="D1764" s="9" t="n">
        <v>27</v>
      </c>
      <c r="E1764" s="10">
        <f>COMBIN(A1764,D1764)/COMBIN(A1764-B1764,D1764)</f>
        <v/>
      </c>
      <c r="F1764" s="11">
        <f>ROUNDUP(E1764*Controls!$B$4,4)</f>
        <v/>
      </c>
      <c r="G1764" s="12">
        <f>F1764/E1764</f>
        <v/>
      </c>
      <c r="H1764" s="10">
        <f>(A1764-B1764-(D1764-1))/(A1764-(D1764-1))</f>
        <v/>
      </c>
      <c r="I1764" s="9">
        <f>A1764&amp;'x'&amp;B1764</f>
        <v/>
      </c>
      <c r="J1764" s="9">
        <f>IF(AND(G1764&gt;0.9,G1764&lt;1),"OK","CHECK")</f>
        <v/>
      </c>
    </row>
    <row r="1765">
      <c r="A1765" s="9" t="n">
        <v>49</v>
      </c>
      <c r="B1765" s="9" t="n">
        <v>17</v>
      </c>
      <c r="C1765" s="9" t="n">
        <v>32</v>
      </c>
      <c r="D1765" s="9" t="n">
        <v>28</v>
      </c>
      <c r="E1765" s="10">
        <f>COMBIN(A1765,D1765)/COMBIN(A1765-B1765,D1765)</f>
        <v/>
      </c>
      <c r="F1765" s="11">
        <f>ROUNDUP(E1765*Controls!$B$4,4)</f>
        <v/>
      </c>
      <c r="G1765" s="12">
        <f>F1765/E1765</f>
        <v/>
      </c>
      <c r="H1765" s="10">
        <f>(A1765-B1765-(D1765-1))/(A1765-(D1765-1))</f>
        <v/>
      </c>
      <c r="I1765" s="9">
        <f>A1765&amp;'x'&amp;B1765</f>
        <v/>
      </c>
      <c r="J1765" s="9">
        <f>IF(AND(G1765&gt;0.9,G1765&lt;1),"OK","CHECK")</f>
        <v/>
      </c>
    </row>
    <row r="1766">
      <c r="A1766" s="9" t="n">
        <v>49</v>
      </c>
      <c r="B1766" s="9" t="n">
        <v>17</v>
      </c>
      <c r="C1766" s="9" t="n">
        <v>32</v>
      </c>
      <c r="D1766" s="9" t="n">
        <v>29</v>
      </c>
      <c r="E1766" s="10">
        <f>COMBIN(A1766,D1766)/COMBIN(A1766-B1766,D1766)</f>
        <v/>
      </c>
      <c r="F1766" s="11">
        <f>ROUNDUP(E1766*Controls!$B$4,4)</f>
        <v/>
      </c>
      <c r="G1766" s="12">
        <f>F1766/E1766</f>
        <v/>
      </c>
      <c r="H1766" s="10">
        <f>(A1766-B1766-(D1766-1))/(A1766-(D1766-1))</f>
        <v/>
      </c>
      <c r="I1766" s="9">
        <f>A1766&amp;'x'&amp;B1766</f>
        <v/>
      </c>
      <c r="J1766" s="9">
        <f>IF(AND(G1766&gt;0.9,G1766&lt;1),"OK","CHECK")</f>
        <v/>
      </c>
    </row>
    <row r="1767">
      <c r="A1767" s="9" t="n">
        <v>49</v>
      </c>
      <c r="B1767" s="9" t="n">
        <v>17</v>
      </c>
      <c r="C1767" s="9" t="n">
        <v>32</v>
      </c>
      <c r="D1767" s="9" t="n">
        <v>30</v>
      </c>
      <c r="E1767" s="10">
        <f>COMBIN(A1767,D1767)/COMBIN(A1767-B1767,D1767)</f>
        <v/>
      </c>
      <c r="F1767" s="11">
        <f>ROUNDUP(E1767*Controls!$B$4,4)</f>
        <v/>
      </c>
      <c r="G1767" s="12">
        <f>F1767/E1767</f>
        <v/>
      </c>
      <c r="H1767" s="10">
        <f>(A1767-B1767-(D1767-1))/(A1767-(D1767-1))</f>
        <v/>
      </c>
      <c r="I1767" s="9">
        <f>A1767&amp;'x'&amp;B1767</f>
        <v/>
      </c>
      <c r="J1767" s="9">
        <f>IF(AND(G1767&gt;0.9,G1767&lt;1),"OK","CHECK")</f>
        <v/>
      </c>
    </row>
    <row r="1768">
      <c r="A1768" s="9" t="n">
        <v>49</v>
      </c>
      <c r="B1768" s="9" t="n">
        <v>17</v>
      </c>
      <c r="C1768" s="9" t="n">
        <v>32</v>
      </c>
      <c r="D1768" s="9" t="n">
        <v>31</v>
      </c>
      <c r="E1768" s="10">
        <f>COMBIN(A1768,D1768)/COMBIN(A1768-B1768,D1768)</f>
        <v/>
      </c>
      <c r="F1768" s="11">
        <f>ROUNDUP(E1768*Controls!$B$4,4)</f>
        <v/>
      </c>
      <c r="G1768" s="12">
        <f>F1768/E1768</f>
        <v/>
      </c>
      <c r="H1768" s="10">
        <f>(A1768-B1768-(D1768-1))/(A1768-(D1768-1))</f>
        <v/>
      </c>
      <c r="I1768" s="9">
        <f>A1768&amp;'x'&amp;B1768</f>
        <v/>
      </c>
      <c r="J1768" s="9">
        <f>IF(AND(G1768&gt;0.9,G1768&lt;1),"OK","CHECK")</f>
        <v/>
      </c>
    </row>
    <row r="1769">
      <c r="A1769" s="9" t="n">
        <v>49</v>
      </c>
      <c r="B1769" s="9" t="n">
        <v>17</v>
      </c>
      <c r="C1769" s="9" t="n">
        <v>32</v>
      </c>
      <c r="D1769" s="9" t="n">
        <v>32</v>
      </c>
      <c r="E1769" s="10">
        <f>COMBIN(A1769,D1769)/COMBIN(A1769-B1769,D1769)</f>
        <v/>
      </c>
      <c r="F1769" s="11">
        <f>ROUNDUP(E1769*Controls!$B$4,4)</f>
        <v/>
      </c>
      <c r="G1769" s="12">
        <f>F1769/E1769</f>
        <v/>
      </c>
      <c r="H1769" s="10">
        <f>(A1769-B1769-(D1769-1))/(A1769-(D1769-1))</f>
        <v/>
      </c>
      <c r="I1769" s="9">
        <f>A1769&amp;'x'&amp;B1769</f>
        <v/>
      </c>
      <c r="J1769" s="9">
        <f>IF(AND(G1769&gt;0.9,G1769&lt;1),"OK","CHECK")</f>
        <v/>
      </c>
    </row>
    <row r="1770">
      <c r="A1770" s="9" t="n">
        <v>49</v>
      </c>
      <c r="B1770" s="9" t="n">
        <v>18</v>
      </c>
      <c r="C1770" s="9" t="n">
        <v>31</v>
      </c>
      <c r="D1770" s="9" t="n">
        <v>1</v>
      </c>
      <c r="E1770" s="10">
        <f>COMBIN(A1770,D1770)/COMBIN(A1770-B1770,D1770)</f>
        <v/>
      </c>
      <c r="F1770" s="11">
        <f>ROUNDUP(E1770*Controls!$B$4,4)</f>
        <v/>
      </c>
      <c r="G1770" s="12">
        <f>F1770/E1770</f>
        <v/>
      </c>
      <c r="H1770" s="10">
        <f>(A1770-B1770-(D1770-1))/(A1770-(D1770-1))</f>
        <v/>
      </c>
      <c r="I1770" s="9">
        <f>A1770&amp;'x'&amp;B1770</f>
        <v/>
      </c>
      <c r="J1770" s="9">
        <f>IF(AND(G1770&gt;0.9,G1770&lt;1),"OK","CHECK")</f>
        <v/>
      </c>
    </row>
    <row r="1771">
      <c r="A1771" s="9" t="n">
        <v>49</v>
      </c>
      <c r="B1771" s="9" t="n">
        <v>18</v>
      </c>
      <c r="C1771" s="9" t="n">
        <v>31</v>
      </c>
      <c r="D1771" s="9" t="n">
        <v>2</v>
      </c>
      <c r="E1771" s="10">
        <f>COMBIN(A1771,D1771)/COMBIN(A1771-B1771,D1771)</f>
        <v/>
      </c>
      <c r="F1771" s="11">
        <f>ROUNDUP(E1771*Controls!$B$4,4)</f>
        <v/>
      </c>
      <c r="G1771" s="12">
        <f>F1771/E1771</f>
        <v/>
      </c>
      <c r="H1771" s="10">
        <f>(A1771-B1771-(D1771-1))/(A1771-(D1771-1))</f>
        <v/>
      </c>
      <c r="I1771" s="9">
        <f>A1771&amp;'x'&amp;B1771</f>
        <v/>
      </c>
      <c r="J1771" s="9">
        <f>IF(AND(G1771&gt;0.9,G1771&lt;1),"OK","CHECK")</f>
        <v/>
      </c>
    </row>
    <row r="1772">
      <c r="A1772" s="9" t="n">
        <v>49</v>
      </c>
      <c r="B1772" s="9" t="n">
        <v>18</v>
      </c>
      <c r="C1772" s="9" t="n">
        <v>31</v>
      </c>
      <c r="D1772" s="9" t="n">
        <v>3</v>
      </c>
      <c r="E1772" s="10">
        <f>COMBIN(A1772,D1772)/COMBIN(A1772-B1772,D1772)</f>
        <v/>
      </c>
      <c r="F1772" s="11">
        <f>ROUNDUP(E1772*Controls!$B$4,4)</f>
        <v/>
      </c>
      <c r="G1772" s="12">
        <f>F1772/E1772</f>
        <v/>
      </c>
      <c r="H1772" s="10">
        <f>(A1772-B1772-(D1772-1))/(A1772-(D1772-1))</f>
        <v/>
      </c>
      <c r="I1772" s="9">
        <f>A1772&amp;'x'&amp;B1772</f>
        <v/>
      </c>
      <c r="J1772" s="9">
        <f>IF(AND(G1772&gt;0.9,G1772&lt;1),"OK","CHECK")</f>
        <v/>
      </c>
    </row>
    <row r="1773">
      <c r="A1773" s="9" t="n">
        <v>49</v>
      </c>
      <c r="B1773" s="9" t="n">
        <v>18</v>
      </c>
      <c r="C1773" s="9" t="n">
        <v>31</v>
      </c>
      <c r="D1773" s="9" t="n">
        <v>4</v>
      </c>
      <c r="E1773" s="10">
        <f>COMBIN(A1773,D1773)/COMBIN(A1773-B1773,D1773)</f>
        <v/>
      </c>
      <c r="F1773" s="11">
        <f>ROUNDUP(E1773*Controls!$B$4,4)</f>
        <v/>
      </c>
      <c r="G1773" s="12">
        <f>F1773/E1773</f>
        <v/>
      </c>
      <c r="H1773" s="10">
        <f>(A1773-B1773-(D1773-1))/(A1773-(D1773-1))</f>
        <v/>
      </c>
      <c r="I1773" s="9">
        <f>A1773&amp;'x'&amp;B1773</f>
        <v/>
      </c>
      <c r="J1773" s="9">
        <f>IF(AND(G1773&gt;0.9,G1773&lt;1),"OK","CHECK")</f>
        <v/>
      </c>
    </row>
    <row r="1774">
      <c r="A1774" s="9" t="n">
        <v>49</v>
      </c>
      <c r="B1774" s="9" t="n">
        <v>18</v>
      </c>
      <c r="C1774" s="9" t="n">
        <v>31</v>
      </c>
      <c r="D1774" s="9" t="n">
        <v>5</v>
      </c>
      <c r="E1774" s="10">
        <f>COMBIN(A1774,D1774)/COMBIN(A1774-B1774,D1774)</f>
        <v/>
      </c>
      <c r="F1774" s="11">
        <f>ROUNDUP(E1774*Controls!$B$4,4)</f>
        <v/>
      </c>
      <c r="G1774" s="12">
        <f>F1774/E1774</f>
        <v/>
      </c>
      <c r="H1774" s="10">
        <f>(A1774-B1774-(D1774-1))/(A1774-(D1774-1))</f>
        <v/>
      </c>
      <c r="I1774" s="9">
        <f>A1774&amp;'x'&amp;B1774</f>
        <v/>
      </c>
      <c r="J1774" s="9">
        <f>IF(AND(G1774&gt;0.9,G1774&lt;1),"OK","CHECK")</f>
        <v/>
      </c>
    </row>
    <row r="1775">
      <c r="A1775" s="9" t="n">
        <v>49</v>
      </c>
      <c r="B1775" s="9" t="n">
        <v>18</v>
      </c>
      <c r="C1775" s="9" t="n">
        <v>31</v>
      </c>
      <c r="D1775" s="9" t="n">
        <v>6</v>
      </c>
      <c r="E1775" s="10">
        <f>COMBIN(A1775,D1775)/COMBIN(A1775-B1775,D1775)</f>
        <v/>
      </c>
      <c r="F1775" s="11">
        <f>ROUNDUP(E1775*Controls!$B$4,4)</f>
        <v/>
      </c>
      <c r="G1775" s="12">
        <f>F1775/E1775</f>
        <v/>
      </c>
      <c r="H1775" s="10">
        <f>(A1775-B1775-(D1775-1))/(A1775-(D1775-1))</f>
        <v/>
      </c>
      <c r="I1775" s="9">
        <f>A1775&amp;'x'&amp;B1775</f>
        <v/>
      </c>
      <c r="J1775" s="9">
        <f>IF(AND(G1775&gt;0.9,G1775&lt;1),"OK","CHECK")</f>
        <v/>
      </c>
    </row>
    <row r="1776">
      <c r="A1776" s="9" t="n">
        <v>49</v>
      </c>
      <c r="B1776" s="9" t="n">
        <v>18</v>
      </c>
      <c r="C1776" s="9" t="n">
        <v>31</v>
      </c>
      <c r="D1776" s="9" t="n">
        <v>7</v>
      </c>
      <c r="E1776" s="10">
        <f>COMBIN(A1776,D1776)/COMBIN(A1776-B1776,D1776)</f>
        <v/>
      </c>
      <c r="F1776" s="11">
        <f>ROUNDUP(E1776*Controls!$B$4,4)</f>
        <v/>
      </c>
      <c r="G1776" s="12">
        <f>F1776/E1776</f>
        <v/>
      </c>
      <c r="H1776" s="10">
        <f>(A1776-B1776-(D1776-1))/(A1776-(D1776-1))</f>
        <v/>
      </c>
      <c r="I1776" s="9">
        <f>A1776&amp;'x'&amp;B1776</f>
        <v/>
      </c>
      <c r="J1776" s="9">
        <f>IF(AND(G1776&gt;0.9,G1776&lt;1),"OK","CHECK")</f>
        <v/>
      </c>
    </row>
    <row r="1777">
      <c r="A1777" s="9" t="n">
        <v>49</v>
      </c>
      <c r="B1777" s="9" t="n">
        <v>18</v>
      </c>
      <c r="C1777" s="9" t="n">
        <v>31</v>
      </c>
      <c r="D1777" s="9" t="n">
        <v>8</v>
      </c>
      <c r="E1777" s="10">
        <f>COMBIN(A1777,D1777)/COMBIN(A1777-B1777,D1777)</f>
        <v/>
      </c>
      <c r="F1777" s="11">
        <f>ROUNDUP(E1777*Controls!$B$4,4)</f>
        <v/>
      </c>
      <c r="G1777" s="12">
        <f>F1777/E1777</f>
        <v/>
      </c>
      <c r="H1777" s="10">
        <f>(A1777-B1777-(D1777-1))/(A1777-(D1777-1))</f>
        <v/>
      </c>
      <c r="I1777" s="9">
        <f>A1777&amp;'x'&amp;B1777</f>
        <v/>
      </c>
      <c r="J1777" s="9">
        <f>IF(AND(G1777&gt;0.9,G1777&lt;1),"OK","CHECK")</f>
        <v/>
      </c>
    </row>
    <row r="1778">
      <c r="A1778" s="9" t="n">
        <v>49</v>
      </c>
      <c r="B1778" s="9" t="n">
        <v>18</v>
      </c>
      <c r="C1778" s="9" t="n">
        <v>31</v>
      </c>
      <c r="D1778" s="9" t="n">
        <v>9</v>
      </c>
      <c r="E1778" s="10">
        <f>COMBIN(A1778,D1778)/COMBIN(A1778-B1778,D1778)</f>
        <v/>
      </c>
      <c r="F1778" s="11">
        <f>ROUNDUP(E1778*Controls!$B$4,4)</f>
        <v/>
      </c>
      <c r="G1778" s="12">
        <f>F1778/E1778</f>
        <v/>
      </c>
      <c r="H1778" s="10">
        <f>(A1778-B1778-(D1778-1))/(A1778-(D1778-1))</f>
        <v/>
      </c>
      <c r="I1778" s="9">
        <f>A1778&amp;'x'&amp;B1778</f>
        <v/>
      </c>
      <c r="J1778" s="9">
        <f>IF(AND(G1778&gt;0.9,G1778&lt;1),"OK","CHECK")</f>
        <v/>
      </c>
    </row>
    <row r="1779">
      <c r="A1779" s="9" t="n">
        <v>49</v>
      </c>
      <c r="B1779" s="9" t="n">
        <v>18</v>
      </c>
      <c r="C1779" s="9" t="n">
        <v>31</v>
      </c>
      <c r="D1779" s="9" t="n">
        <v>10</v>
      </c>
      <c r="E1779" s="10">
        <f>COMBIN(A1779,D1779)/COMBIN(A1779-B1779,D1779)</f>
        <v/>
      </c>
      <c r="F1779" s="11">
        <f>ROUNDUP(E1779*Controls!$B$4,4)</f>
        <v/>
      </c>
      <c r="G1779" s="12">
        <f>F1779/E1779</f>
        <v/>
      </c>
      <c r="H1779" s="10">
        <f>(A1779-B1779-(D1779-1))/(A1779-(D1779-1))</f>
        <v/>
      </c>
      <c r="I1779" s="9">
        <f>A1779&amp;'x'&amp;B1779</f>
        <v/>
      </c>
      <c r="J1779" s="9">
        <f>IF(AND(G1779&gt;0.9,G1779&lt;1),"OK","CHECK")</f>
        <v/>
      </c>
    </row>
    <row r="1780">
      <c r="A1780" s="9" t="n">
        <v>49</v>
      </c>
      <c r="B1780" s="9" t="n">
        <v>18</v>
      </c>
      <c r="C1780" s="9" t="n">
        <v>31</v>
      </c>
      <c r="D1780" s="9" t="n">
        <v>11</v>
      </c>
      <c r="E1780" s="10">
        <f>COMBIN(A1780,D1780)/COMBIN(A1780-B1780,D1780)</f>
        <v/>
      </c>
      <c r="F1780" s="11">
        <f>ROUNDUP(E1780*Controls!$B$4,4)</f>
        <v/>
      </c>
      <c r="G1780" s="12">
        <f>F1780/E1780</f>
        <v/>
      </c>
      <c r="H1780" s="10">
        <f>(A1780-B1780-(D1780-1))/(A1780-(D1780-1))</f>
        <v/>
      </c>
      <c r="I1780" s="9">
        <f>A1780&amp;'x'&amp;B1780</f>
        <v/>
      </c>
      <c r="J1780" s="9">
        <f>IF(AND(G1780&gt;0.9,G1780&lt;1),"OK","CHECK")</f>
        <v/>
      </c>
    </row>
    <row r="1781">
      <c r="A1781" s="9" t="n">
        <v>49</v>
      </c>
      <c r="B1781" s="9" t="n">
        <v>18</v>
      </c>
      <c r="C1781" s="9" t="n">
        <v>31</v>
      </c>
      <c r="D1781" s="9" t="n">
        <v>12</v>
      </c>
      <c r="E1781" s="10">
        <f>COMBIN(A1781,D1781)/COMBIN(A1781-B1781,D1781)</f>
        <v/>
      </c>
      <c r="F1781" s="11">
        <f>ROUNDUP(E1781*Controls!$B$4,4)</f>
        <v/>
      </c>
      <c r="G1781" s="12">
        <f>F1781/E1781</f>
        <v/>
      </c>
      <c r="H1781" s="10">
        <f>(A1781-B1781-(D1781-1))/(A1781-(D1781-1))</f>
        <v/>
      </c>
      <c r="I1781" s="9">
        <f>A1781&amp;'x'&amp;B1781</f>
        <v/>
      </c>
      <c r="J1781" s="9">
        <f>IF(AND(G1781&gt;0.9,G1781&lt;1),"OK","CHECK")</f>
        <v/>
      </c>
    </row>
    <row r="1782">
      <c r="A1782" s="9" t="n">
        <v>49</v>
      </c>
      <c r="B1782" s="9" t="n">
        <v>18</v>
      </c>
      <c r="C1782" s="9" t="n">
        <v>31</v>
      </c>
      <c r="D1782" s="9" t="n">
        <v>13</v>
      </c>
      <c r="E1782" s="10">
        <f>COMBIN(A1782,D1782)/COMBIN(A1782-B1782,D1782)</f>
        <v/>
      </c>
      <c r="F1782" s="11">
        <f>ROUNDUP(E1782*Controls!$B$4,4)</f>
        <v/>
      </c>
      <c r="G1782" s="12">
        <f>F1782/E1782</f>
        <v/>
      </c>
      <c r="H1782" s="10">
        <f>(A1782-B1782-(D1782-1))/(A1782-(D1782-1))</f>
        <v/>
      </c>
      <c r="I1782" s="9">
        <f>A1782&amp;'x'&amp;B1782</f>
        <v/>
      </c>
      <c r="J1782" s="9">
        <f>IF(AND(G1782&gt;0.9,G1782&lt;1),"OK","CHECK")</f>
        <v/>
      </c>
    </row>
    <row r="1783">
      <c r="A1783" s="9" t="n">
        <v>49</v>
      </c>
      <c r="B1783" s="9" t="n">
        <v>18</v>
      </c>
      <c r="C1783" s="9" t="n">
        <v>31</v>
      </c>
      <c r="D1783" s="9" t="n">
        <v>14</v>
      </c>
      <c r="E1783" s="10">
        <f>COMBIN(A1783,D1783)/COMBIN(A1783-B1783,D1783)</f>
        <v/>
      </c>
      <c r="F1783" s="11">
        <f>ROUNDUP(E1783*Controls!$B$4,4)</f>
        <v/>
      </c>
      <c r="G1783" s="12">
        <f>F1783/E1783</f>
        <v/>
      </c>
      <c r="H1783" s="10">
        <f>(A1783-B1783-(D1783-1))/(A1783-(D1783-1))</f>
        <v/>
      </c>
      <c r="I1783" s="9">
        <f>A1783&amp;'x'&amp;B1783</f>
        <v/>
      </c>
      <c r="J1783" s="9">
        <f>IF(AND(G1783&gt;0.9,G1783&lt;1),"OK","CHECK")</f>
        <v/>
      </c>
    </row>
    <row r="1784">
      <c r="A1784" s="9" t="n">
        <v>49</v>
      </c>
      <c r="B1784" s="9" t="n">
        <v>18</v>
      </c>
      <c r="C1784" s="9" t="n">
        <v>31</v>
      </c>
      <c r="D1784" s="9" t="n">
        <v>15</v>
      </c>
      <c r="E1784" s="10">
        <f>COMBIN(A1784,D1784)/COMBIN(A1784-B1784,D1784)</f>
        <v/>
      </c>
      <c r="F1784" s="11">
        <f>ROUNDUP(E1784*Controls!$B$4,4)</f>
        <v/>
      </c>
      <c r="G1784" s="12">
        <f>F1784/E1784</f>
        <v/>
      </c>
      <c r="H1784" s="10">
        <f>(A1784-B1784-(D1784-1))/(A1784-(D1784-1))</f>
        <v/>
      </c>
      <c r="I1784" s="9">
        <f>A1784&amp;'x'&amp;B1784</f>
        <v/>
      </c>
      <c r="J1784" s="9">
        <f>IF(AND(G1784&gt;0.9,G1784&lt;1),"OK","CHECK")</f>
        <v/>
      </c>
    </row>
    <row r="1785">
      <c r="A1785" s="9" t="n">
        <v>49</v>
      </c>
      <c r="B1785" s="9" t="n">
        <v>18</v>
      </c>
      <c r="C1785" s="9" t="n">
        <v>31</v>
      </c>
      <c r="D1785" s="9" t="n">
        <v>16</v>
      </c>
      <c r="E1785" s="10">
        <f>COMBIN(A1785,D1785)/COMBIN(A1785-B1785,D1785)</f>
        <v/>
      </c>
      <c r="F1785" s="11">
        <f>ROUNDUP(E1785*Controls!$B$4,4)</f>
        <v/>
      </c>
      <c r="G1785" s="12">
        <f>F1785/E1785</f>
        <v/>
      </c>
      <c r="H1785" s="10">
        <f>(A1785-B1785-(D1785-1))/(A1785-(D1785-1))</f>
        <v/>
      </c>
      <c r="I1785" s="9">
        <f>A1785&amp;'x'&amp;B1785</f>
        <v/>
      </c>
      <c r="J1785" s="9">
        <f>IF(AND(G1785&gt;0.9,G1785&lt;1),"OK","CHECK")</f>
        <v/>
      </c>
    </row>
    <row r="1786">
      <c r="A1786" s="9" t="n">
        <v>49</v>
      </c>
      <c r="B1786" s="9" t="n">
        <v>18</v>
      </c>
      <c r="C1786" s="9" t="n">
        <v>31</v>
      </c>
      <c r="D1786" s="9" t="n">
        <v>17</v>
      </c>
      <c r="E1786" s="10">
        <f>COMBIN(A1786,D1786)/COMBIN(A1786-B1786,D1786)</f>
        <v/>
      </c>
      <c r="F1786" s="11">
        <f>ROUNDUP(E1786*Controls!$B$4,4)</f>
        <v/>
      </c>
      <c r="G1786" s="12">
        <f>F1786/E1786</f>
        <v/>
      </c>
      <c r="H1786" s="10">
        <f>(A1786-B1786-(D1786-1))/(A1786-(D1786-1))</f>
        <v/>
      </c>
      <c r="I1786" s="9">
        <f>A1786&amp;'x'&amp;B1786</f>
        <v/>
      </c>
      <c r="J1786" s="9">
        <f>IF(AND(G1786&gt;0.9,G1786&lt;1),"OK","CHECK")</f>
        <v/>
      </c>
    </row>
    <row r="1787">
      <c r="A1787" s="9" t="n">
        <v>49</v>
      </c>
      <c r="B1787" s="9" t="n">
        <v>18</v>
      </c>
      <c r="C1787" s="9" t="n">
        <v>31</v>
      </c>
      <c r="D1787" s="9" t="n">
        <v>18</v>
      </c>
      <c r="E1787" s="10">
        <f>COMBIN(A1787,D1787)/COMBIN(A1787-B1787,D1787)</f>
        <v/>
      </c>
      <c r="F1787" s="11">
        <f>ROUNDUP(E1787*Controls!$B$4,4)</f>
        <v/>
      </c>
      <c r="G1787" s="12">
        <f>F1787/E1787</f>
        <v/>
      </c>
      <c r="H1787" s="10">
        <f>(A1787-B1787-(D1787-1))/(A1787-(D1787-1))</f>
        <v/>
      </c>
      <c r="I1787" s="9">
        <f>A1787&amp;'x'&amp;B1787</f>
        <v/>
      </c>
      <c r="J1787" s="9">
        <f>IF(AND(G1787&gt;0.9,G1787&lt;1),"OK","CHECK")</f>
        <v/>
      </c>
    </row>
    <row r="1788">
      <c r="A1788" s="9" t="n">
        <v>49</v>
      </c>
      <c r="B1788" s="9" t="n">
        <v>18</v>
      </c>
      <c r="C1788" s="9" t="n">
        <v>31</v>
      </c>
      <c r="D1788" s="9" t="n">
        <v>19</v>
      </c>
      <c r="E1788" s="10">
        <f>COMBIN(A1788,D1788)/COMBIN(A1788-B1788,D1788)</f>
        <v/>
      </c>
      <c r="F1788" s="11">
        <f>ROUNDUP(E1788*Controls!$B$4,4)</f>
        <v/>
      </c>
      <c r="G1788" s="12">
        <f>F1788/E1788</f>
        <v/>
      </c>
      <c r="H1788" s="10">
        <f>(A1788-B1788-(D1788-1))/(A1788-(D1788-1))</f>
        <v/>
      </c>
      <c r="I1788" s="9">
        <f>A1788&amp;'x'&amp;B1788</f>
        <v/>
      </c>
      <c r="J1788" s="9">
        <f>IF(AND(G1788&gt;0.9,G1788&lt;1),"OK","CHECK")</f>
        <v/>
      </c>
    </row>
    <row r="1789">
      <c r="A1789" s="9" t="n">
        <v>49</v>
      </c>
      <c r="B1789" s="9" t="n">
        <v>18</v>
      </c>
      <c r="C1789" s="9" t="n">
        <v>31</v>
      </c>
      <c r="D1789" s="9" t="n">
        <v>20</v>
      </c>
      <c r="E1789" s="10">
        <f>COMBIN(A1789,D1789)/COMBIN(A1789-B1789,D1789)</f>
        <v/>
      </c>
      <c r="F1789" s="11">
        <f>ROUNDUP(E1789*Controls!$B$4,4)</f>
        <v/>
      </c>
      <c r="G1789" s="12">
        <f>F1789/E1789</f>
        <v/>
      </c>
      <c r="H1789" s="10">
        <f>(A1789-B1789-(D1789-1))/(A1789-(D1789-1))</f>
        <v/>
      </c>
      <c r="I1789" s="9">
        <f>A1789&amp;'x'&amp;B1789</f>
        <v/>
      </c>
      <c r="J1789" s="9">
        <f>IF(AND(G1789&gt;0.9,G1789&lt;1),"OK","CHECK")</f>
        <v/>
      </c>
    </row>
    <row r="1790">
      <c r="A1790" s="9" t="n">
        <v>49</v>
      </c>
      <c r="B1790" s="9" t="n">
        <v>18</v>
      </c>
      <c r="C1790" s="9" t="n">
        <v>31</v>
      </c>
      <c r="D1790" s="9" t="n">
        <v>21</v>
      </c>
      <c r="E1790" s="10">
        <f>COMBIN(A1790,D1790)/COMBIN(A1790-B1790,D1790)</f>
        <v/>
      </c>
      <c r="F1790" s="11">
        <f>ROUNDUP(E1790*Controls!$B$4,4)</f>
        <v/>
      </c>
      <c r="G1790" s="12">
        <f>F1790/E1790</f>
        <v/>
      </c>
      <c r="H1790" s="10">
        <f>(A1790-B1790-(D1790-1))/(A1790-(D1790-1))</f>
        <v/>
      </c>
      <c r="I1790" s="9">
        <f>A1790&amp;'x'&amp;B1790</f>
        <v/>
      </c>
      <c r="J1790" s="9">
        <f>IF(AND(G1790&gt;0.9,G1790&lt;1),"OK","CHECK")</f>
        <v/>
      </c>
    </row>
    <row r="1791">
      <c r="A1791" s="9" t="n">
        <v>49</v>
      </c>
      <c r="B1791" s="9" t="n">
        <v>18</v>
      </c>
      <c r="C1791" s="9" t="n">
        <v>31</v>
      </c>
      <c r="D1791" s="9" t="n">
        <v>22</v>
      </c>
      <c r="E1791" s="10">
        <f>COMBIN(A1791,D1791)/COMBIN(A1791-B1791,D1791)</f>
        <v/>
      </c>
      <c r="F1791" s="11">
        <f>ROUNDUP(E1791*Controls!$B$4,4)</f>
        <v/>
      </c>
      <c r="G1791" s="12">
        <f>F1791/E1791</f>
        <v/>
      </c>
      <c r="H1791" s="10">
        <f>(A1791-B1791-(D1791-1))/(A1791-(D1791-1))</f>
        <v/>
      </c>
      <c r="I1791" s="9">
        <f>A1791&amp;'x'&amp;B1791</f>
        <v/>
      </c>
      <c r="J1791" s="9">
        <f>IF(AND(G1791&gt;0.9,G1791&lt;1),"OK","CHECK")</f>
        <v/>
      </c>
    </row>
    <row r="1792">
      <c r="A1792" s="9" t="n">
        <v>49</v>
      </c>
      <c r="B1792" s="9" t="n">
        <v>18</v>
      </c>
      <c r="C1792" s="9" t="n">
        <v>31</v>
      </c>
      <c r="D1792" s="9" t="n">
        <v>23</v>
      </c>
      <c r="E1792" s="10">
        <f>COMBIN(A1792,D1792)/COMBIN(A1792-B1792,D1792)</f>
        <v/>
      </c>
      <c r="F1792" s="11">
        <f>ROUNDUP(E1792*Controls!$B$4,4)</f>
        <v/>
      </c>
      <c r="G1792" s="12">
        <f>F1792/E1792</f>
        <v/>
      </c>
      <c r="H1792" s="10">
        <f>(A1792-B1792-(D1792-1))/(A1792-(D1792-1))</f>
        <v/>
      </c>
      <c r="I1792" s="9">
        <f>A1792&amp;'x'&amp;B1792</f>
        <v/>
      </c>
      <c r="J1792" s="9">
        <f>IF(AND(G1792&gt;0.9,G1792&lt;1),"OK","CHECK")</f>
        <v/>
      </c>
    </row>
    <row r="1793">
      <c r="A1793" s="9" t="n">
        <v>49</v>
      </c>
      <c r="B1793" s="9" t="n">
        <v>18</v>
      </c>
      <c r="C1793" s="9" t="n">
        <v>31</v>
      </c>
      <c r="D1793" s="9" t="n">
        <v>24</v>
      </c>
      <c r="E1793" s="10">
        <f>COMBIN(A1793,D1793)/COMBIN(A1793-B1793,D1793)</f>
        <v/>
      </c>
      <c r="F1793" s="11">
        <f>ROUNDUP(E1793*Controls!$B$4,4)</f>
        <v/>
      </c>
      <c r="G1793" s="12">
        <f>F1793/E1793</f>
        <v/>
      </c>
      <c r="H1793" s="10">
        <f>(A1793-B1793-(D1793-1))/(A1793-(D1793-1))</f>
        <v/>
      </c>
      <c r="I1793" s="9">
        <f>A1793&amp;'x'&amp;B1793</f>
        <v/>
      </c>
      <c r="J1793" s="9">
        <f>IF(AND(G1793&gt;0.9,G1793&lt;1),"OK","CHECK")</f>
        <v/>
      </c>
    </row>
    <row r="1794">
      <c r="A1794" s="9" t="n">
        <v>49</v>
      </c>
      <c r="B1794" s="9" t="n">
        <v>18</v>
      </c>
      <c r="C1794" s="9" t="n">
        <v>31</v>
      </c>
      <c r="D1794" s="9" t="n">
        <v>25</v>
      </c>
      <c r="E1794" s="10">
        <f>COMBIN(A1794,D1794)/COMBIN(A1794-B1794,D1794)</f>
        <v/>
      </c>
      <c r="F1794" s="11">
        <f>ROUNDUP(E1794*Controls!$B$4,4)</f>
        <v/>
      </c>
      <c r="G1794" s="12">
        <f>F1794/E1794</f>
        <v/>
      </c>
      <c r="H1794" s="10">
        <f>(A1794-B1794-(D1794-1))/(A1794-(D1794-1))</f>
        <v/>
      </c>
      <c r="I1794" s="9">
        <f>A1794&amp;'x'&amp;B1794</f>
        <v/>
      </c>
      <c r="J1794" s="9">
        <f>IF(AND(G1794&gt;0.9,G1794&lt;1),"OK","CHECK")</f>
        <v/>
      </c>
    </row>
    <row r="1795">
      <c r="A1795" s="9" t="n">
        <v>49</v>
      </c>
      <c r="B1795" s="9" t="n">
        <v>18</v>
      </c>
      <c r="C1795" s="9" t="n">
        <v>31</v>
      </c>
      <c r="D1795" s="9" t="n">
        <v>26</v>
      </c>
      <c r="E1795" s="10">
        <f>COMBIN(A1795,D1795)/COMBIN(A1795-B1795,D1795)</f>
        <v/>
      </c>
      <c r="F1795" s="11">
        <f>ROUNDUP(E1795*Controls!$B$4,4)</f>
        <v/>
      </c>
      <c r="G1795" s="12">
        <f>F1795/E1795</f>
        <v/>
      </c>
      <c r="H1795" s="10">
        <f>(A1795-B1795-(D1795-1))/(A1795-(D1795-1))</f>
        <v/>
      </c>
      <c r="I1795" s="9">
        <f>A1795&amp;'x'&amp;B1795</f>
        <v/>
      </c>
      <c r="J1795" s="9">
        <f>IF(AND(G1795&gt;0.9,G1795&lt;1),"OK","CHECK")</f>
        <v/>
      </c>
    </row>
    <row r="1796">
      <c r="A1796" s="9" t="n">
        <v>49</v>
      </c>
      <c r="B1796" s="9" t="n">
        <v>18</v>
      </c>
      <c r="C1796" s="9" t="n">
        <v>31</v>
      </c>
      <c r="D1796" s="9" t="n">
        <v>27</v>
      </c>
      <c r="E1796" s="10">
        <f>COMBIN(A1796,D1796)/COMBIN(A1796-B1796,D1796)</f>
        <v/>
      </c>
      <c r="F1796" s="11">
        <f>ROUNDUP(E1796*Controls!$B$4,4)</f>
        <v/>
      </c>
      <c r="G1796" s="12">
        <f>F1796/E1796</f>
        <v/>
      </c>
      <c r="H1796" s="10">
        <f>(A1796-B1796-(D1796-1))/(A1796-(D1796-1))</f>
        <v/>
      </c>
      <c r="I1796" s="9">
        <f>A1796&amp;'x'&amp;B1796</f>
        <v/>
      </c>
      <c r="J1796" s="9">
        <f>IF(AND(G1796&gt;0.9,G1796&lt;1),"OK","CHECK")</f>
        <v/>
      </c>
    </row>
    <row r="1797">
      <c r="A1797" s="9" t="n">
        <v>49</v>
      </c>
      <c r="B1797" s="9" t="n">
        <v>18</v>
      </c>
      <c r="C1797" s="9" t="n">
        <v>31</v>
      </c>
      <c r="D1797" s="9" t="n">
        <v>28</v>
      </c>
      <c r="E1797" s="10">
        <f>COMBIN(A1797,D1797)/COMBIN(A1797-B1797,D1797)</f>
        <v/>
      </c>
      <c r="F1797" s="11">
        <f>ROUNDUP(E1797*Controls!$B$4,4)</f>
        <v/>
      </c>
      <c r="G1797" s="12">
        <f>F1797/E1797</f>
        <v/>
      </c>
      <c r="H1797" s="10">
        <f>(A1797-B1797-(D1797-1))/(A1797-(D1797-1))</f>
        <v/>
      </c>
      <c r="I1797" s="9">
        <f>A1797&amp;'x'&amp;B1797</f>
        <v/>
      </c>
      <c r="J1797" s="9">
        <f>IF(AND(G1797&gt;0.9,G1797&lt;1),"OK","CHECK")</f>
        <v/>
      </c>
    </row>
    <row r="1798">
      <c r="A1798" s="9" t="n">
        <v>49</v>
      </c>
      <c r="B1798" s="9" t="n">
        <v>18</v>
      </c>
      <c r="C1798" s="9" t="n">
        <v>31</v>
      </c>
      <c r="D1798" s="9" t="n">
        <v>29</v>
      </c>
      <c r="E1798" s="10">
        <f>COMBIN(A1798,D1798)/COMBIN(A1798-B1798,D1798)</f>
        <v/>
      </c>
      <c r="F1798" s="11">
        <f>ROUNDUP(E1798*Controls!$B$4,4)</f>
        <v/>
      </c>
      <c r="G1798" s="12">
        <f>F1798/E1798</f>
        <v/>
      </c>
      <c r="H1798" s="10">
        <f>(A1798-B1798-(D1798-1))/(A1798-(D1798-1))</f>
        <v/>
      </c>
      <c r="I1798" s="9">
        <f>A1798&amp;'x'&amp;B1798</f>
        <v/>
      </c>
      <c r="J1798" s="9">
        <f>IF(AND(G1798&gt;0.9,G1798&lt;1),"OK","CHECK")</f>
        <v/>
      </c>
    </row>
    <row r="1799">
      <c r="A1799" s="9" t="n">
        <v>49</v>
      </c>
      <c r="B1799" s="9" t="n">
        <v>18</v>
      </c>
      <c r="C1799" s="9" t="n">
        <v>31</v>
      </c>
      <c r="D1799" s="9" t="n">
        <v>30</v>
      </c>
      <c r="E1799" s="10">
        <f>COMBIN(A1799,D1799)/COMBIN(A1799-B1799,D1799)</f>
        <v/>
      </c>
      <c r="F1799" s="11">
        <f>ROUNDUP(E1799*Controls!$B$4,4)</f>
        <v/>
      </c>
      <c r="G1799" s="12">
        <f>F1799/E1799</f>
        <v/>
      </c>
      <c r="H1799" s="10">
        <f>(A1799-B1799-(D1799-1))/(A1799-(D1799-1))</f>
        <v/>
      </c>
      <c r="I1799" s="9">
        <f>A1799&amp;'x'&amp;B1799</f>
        <v/>
      </c>
      <c r="J1799" s="9">
        <f>IF(AND(G1799&gt;0.9,G1799&lt;1),"OK","CHECK")</f>
        <v/>
      </c>
    </row>
    <row r="1800">
      <c r="A1800" s="9" t="n">
        <v>49</v>
      </c>
      <c r="B1800" s="9" t="n">
        <v>18</v>
      </c>
      <c r="C1800" s="9" t="n">
        <v>31</v>
      </c>
      <c r="D1800" s="9" t="n">
        <v>31</v>
      </c>
      <c r="E1800" s="10">
        <f>COMBIN(A1800,D1800)/COMBIN(A1800-B1800,D1800)</f>
        <v/>
      </c>
      <c r="F1800" s="11">
        <f>ROUNDUP(E1800*Controls!$B$4,4)</f>
        <v/>
      </c>
      <c r="G1800" s="12">
        <f>F1800/E1800</f>
        <v/>
      </c>
      <c r="H1800" s="10">
        <f>(A1800-B1800-(D1800-1))/(A1800-(D1800-1))</f>
        <v/>
      </c>
      <c r="I1800" s="9">
        <f>A1800&amp;'x'&amp;B1800</f>
        <v/>
      </c>
      <c r="J1800" s="9">
        <f>IF(AND(G1800&gt;0.9,G1800&lt;1),"OK","CHECK")</f>
        <v/>
      </c>
    </row>
    <row r="1801">
      <c r="A1801" s="9" t="n">
        <v>49</v>
      </c>
      <c r="B1801" s="9" t="n">
        <v>19</v>
      </c>
      <c r="C1801" s="9" t="n">
        <v>30</v>
      </c>
      <c r="D1801" s="9" t="n">
        <v>1</v>
      </c>
      <c r="E1801" s="10">
        <f>COMBIN(A1801,D1801)/COMBIN(A1801-B1801,D1801)</f>
        <v/>
      </c>
      <c r="F1801" s="11">
        <f>ROUNDUP(E1801*Controls!$B$4,4)</f>
        <v/>
      </c>
      <c r="G1801" s="12">
        <f>F1801/E1801</f>
        <v/>
      </c>
      <c r="H1801" s="10">
        <f>(A1801-B1801-(D1801-1))/(A1801-(D1801-1))</f>
        <v/>
      </c>
      <c r="I1801" s="9">
        <f>A1801&amp;'x'&amp;B1801</f>
        <v/>
      </c>
      <c r="J1801" s="9">
        <f>IF(AND(G1801&gt;0.9,G1801&lt;1),"OK","CHECK")</f>
        <v/>
      </c>
    </row>
    <row r="1802">
      <c r="A1802" s="9" t="n">
        <v>49</v>
      </c>
      <c r="B1802" s="9" t="n">
        <v>19</v>
      </c>
      <c r="C1802" s="9" t="n">
        <v>30</v>
      </c>
      <c r="D1802" s="9" t="n">
        <v>2</v>
      </c>
      <c r="E1802" s="10">
        <f>COMBIN(A1802,D1802)/COMBIN(A1802-B1802,D1802)</f>
        <v/>
      </c>
      <c r="F1802" s="11">
        <f>ROUNDUP(E1802*Controls!$B$4,4)</f>
        <v/>
      </c>
      <c r="G1802" s="12">
        <f>F1802/E1802</f>
        <v/>
      </c>
      <c r="H1802" s="10">
        <f>(A1802-B1802-(D1802-1))/(A1802-(D1802-1))</f>
        <v/>
      </c>
      <c r="I1802" s="9">
        <f>A1802&amp;'x'&amp;B1802</f>
        <v/>
      </c>
      <c r="J1802" s="9">
        <f>IF(AND(G1802&gt;0.9,G1802&lt;1),"OK","CHECK")</f>
        <v/>
      </c>
    </row>
    <row r="1803">
      <c r="A1803" s="9" t="n">
        <v>49</v>
      </c>
      <c r="B1803" s="9" t="n">
        <v>19</v>
      </c>
      <c r="C1803" s="9" t="n">
        <v>30</v>
      </c>
      <c r="D1803" s="9" t="n">
        <v>3</v>
      </c>
      <c r="E1803" s="10">
        <f>COMBIN(A1803,D1803)/COMBIN(A1803-B1803,D1803)</f>
        <v/>
      </c>
      <c r="F1803" s="11">
        <f>ROUNDUP(E1803*Controls!$B$4,4)</f>
        <v/>
      </c>
      <c r="G1803" s="12">
        <f>F1803/E1803</f>
        <v/>
      </c>
      <c r="H1803" s="10">
        <f>(A1803-B1803-(D1803-1))/(A1803-(D1803-1))</f>
        <v/>
      </c>
      <c r="I1803" s="9">
        <f>A1803&amp;'x'&amp;B1803</f>
        <v/>
      </c>
      <c r="J1803" s="9">
        <f>IF(AND(G1803&gt;0.9,G1803&lt;1),"OK","CHECK")</f>
        <v/>
      </c>
    </row>
    <row r="1804">
      <c r="A1804" s="9" t="n">
        <v>49</v>
      </c>
      <c r="B1804" s="9" t="n">
        <v>19</v>
      </c>
      <c r="C1804" s="9" t="n">
        <v>30</v>
      </c>
      <c r="D1804" s="9" t="n">
        <v>4</v>
      </c>
      <c r="E1804" s="10">
        <f>COMBIN(A1804,D1804)/COMBIN(A1804-B1804,D1804)</f>
        <v/>
      </c>
      <c r="F1804" s="11">
        <f>ROUNDUP(E1804*Controls!$B$4,4)</f>
        <v/>
      </c>
      <c r="G1804" s="12">
        <f>F1804/E1804</f>
        <v/>
      </c>
      <c r="H1804" s="10">
        <f>(A1804-B1804-(D1804-1))/(A1804-(D1804-1))</f>
        <v/>
      </c>
      <c r="I1804" s="9">
        <f>A1804&amp;'x'&amp;B1804</f>
        <v/>
      </c>
      <c r="J1804" s="9">
        <f>IF(AND(G1804&gt;0.9,G1804&lt;1),"OK","CHECK")</f>
        <v/>
      </c>
    </row>
    <row r="1805">
      <c r="A1805" s="9" t="n">
        <v>49</v>
      </c>
      <c r="B1805" s="9" t="n">
        <v>19</v>
      </c>
      <c r="C1805" s="9" t="n">
        <v>30</v>
      </c>
      <c r="D1805" s="9" t="n">
        <v>5</v>
      </c>
      <c r="E1805" s="10">
        <f>COMBIN(A1805,D1805)/COMBIN(A1805-B1805,D1805)</f>
        <v/>
      </c>
      <c r="F1805" s="11">
        <f>ROUNDUP(E1805*Controls!$B$4,4)</f>
        <v/>
      </c>
      <c r="G1805" s="12">
        <f>F1805/E1805</f>
        <v/>
      </c>
      <c r="H1805" s="10">
        <f>(A1805-B1805-(D1805-1))/(A1805-(D1805-1))</f>
        <v/>
      </c>
      <c r="I1805" s="9">
        <f>A1805&amp;'x'&amp;B1805</f>
        <v/>
      </c>
      <c r="J1805" s="9">
        <f>IF(AND(G1805&gt;0.9,G1805&lt;1),"OK","CHECK")</f>
        <v/>
      </c>
    </row>
    <row r="1806">
      <c r="A1806" s="9" t="n">
        <v>49</v>
      </c>
      <c r="B1806" s="9" t="n">
        <v>19</v>
      </c>
      <c r="C1806" s="9" t="n">
        <v>30</v>
      </c>
      <c r="D1806" s="9" t="n">
        <v>6</v>
      </c>
      <c r="E1806" s="10">
        <f>COMBIN(A1806,D1806)/COMBIN(A1806-B1806,D1806)</f>
        <v/>
      </c>
      <c r="F1806" s="11">
        <f>ROUNDUP(E1806*Controls!$B$4,4)</f>
        <v/>
      </c>
      <c r="G1806" s="12">
        <f>F1806/E1806</f>
        <v/>
      </c>
      <c r="H1806" s="10">
        <f>(A1806-B1806-(D1806-1))/(A1806-(D1806-1))</f>
        <v/>
      </c>
      <c r="I1806" s="9">
        <f>A1806&amp;'x'&amp;B1806</f>
        <v/>
      </c>
      <c r="J1806" s="9">
        <f>IF(AND(G1806&gt;0.9,G1806&lt;1),"OK","CHECK")</f>
        <v/>
      </c>
    </row>
    <row r="1807">
      <c r="A1807" s="9" t="n">
        <v>49</v>
      </c>
      <c r="B1807" s="9" t="n">
        <v>19</v>
      </c>
      <c r="C1807" s="9" t="n">
        <v>30</v>
      </c>
      <c r="D1807" s="9" t="n">
        <v>7</v>
      </c>
      <c r="E1807" s="10">
        <f>COMBIN(A1807,D1807)/COMBIN(A1807-B1807,D1807)</f>
        <v/>
      </c>
      <c r="F1807" s="11">
        <f>ROUNDUP(E1807*Controls!$B$4,4)</f>
        <v/>
      </c>
      <c r="G1807" s="12">
        <f>F1807/E1807</f>
        <v/>
      </c>
      <c r="H1807" s="10">
        <f>(A1807-B1807-(D1807-1))/(A1807-(D1807-1))</f>
        <v/>
      </c>
      <c r="I1807" s="9">
        <f>A1807&amp;'x'&amp;B1807</f>
        <v/>
      </c>
      <c r="J1807" s="9">
        <f>IF(AND(G1807&gt;0.9,G1807&lt;1),"OK","CHECK")</f>
        <v/>
      </c>
    </row>
    <row r="1808">
      <c r="A1808" s="9" t="n">
        <v>49</v>
      </c>
      <c r="B1808" s="9" t="n">
        <v>19</v>
      </c>
      <c r="C1808" s="9" t="n">
        <v>30</v>
      </c>
      <c r="D1808" s="9" t="n">
        <v>8</v>
      </c>
      <c r="E1808" s="10">
        <f>COMBIN(A1808,D1808)/COMBIN(A1808-B1808,D1808)</f>
        <v/>
      </c>
      <c r="F1808" s="11">
        <f>ROUNDUP(E1808*Controls!$B$4,4)</f>
        <v/>
      </c>
      <c r="G1808" s="12">
        <f>F1808/E1808</f>
        <v/>
      </c>
      <c r="H1808" s="10">
        <f>(A1808-B1808-(D1808-1))/(A1808-(D1808-1))</f>
        <v/>
      </c>
      <c r="I1808" s="9">
        <f>A1808&amp;'x'&amp;B1808</f>
        <v/>
      </c>
      <c r="J1808" s="9">
        <f>IF(AND(G1808&gt;0.9,G1808&lt;1),"OK","CHECK")</f>
        <v/>
      </c>
    </row>
    <row r="1809">
      <c r="A1809" s="9" t="n">
        <v>49</v>
      </c>
      <c r="B1809" s="9" t="n">
        <v>19</v>
      </c>
      <c r="C1809" s="9" t="n">
        <v>30</v>
      </c>
      <c r="D1809" s="9" t="n">
        <v>9</v>
      </c>
      <c r="E1809" s="10">
        <f>COMBIN(A1809,D1809)/COMBIN(A1809-B1809,D1809)</f>
        <v/>
      </c>
      <c r="F1809" s="11">
        <f>ROUNDUP(E1809*Controls!$B$4,4)</f>
        <v/>
      </c>
      <c r="G1809" s="12">
        <f>F1809/E1809</f>
        <v/>
      </c>
      <c r="H1809" s="10">
        <f>(A1809-B1809-(D1809-1))/(A1809-(D1809-1))</f>
        <v/>
      </c>
      <c r="I1809" s="9">
        <f>A1809&amp;'x'&amp;B1809</f>
        <v/>
      </c>
      <c r="J1809" s="9">
        <f>IF(AND(G1809&gt;0.9,G1809&lt;1),"OK","CHECK")</f>
        <v/>
      </c>
    </row>
    <row r="1810">
      <c r="A1810" s="9" t="n">
        <v>49</v>
      </c>
      <c r="B1810" s="9" t="n">
        <v>19</v>
      </c>
      <c r="C1810" s="9" t="n">
        <v>30</v>
      </c>
      <c r="D1810" s="9" t="n">
        <v>10</v>
      </c>
      <c r="E1810" s="10">
        <f>COMBIN(A1810,D1810)/COMBIN(A1810-B1810,D1810)</f>
        <v/>
      </c>
      <c r="F1810" s="11">
        <f>ROUNDUP(E1810*Controls!$B$4,4)</f>
        <v/>
      </c>
      <c r="G1810" s="12">
        <f>F1810/E1810</f>
        <v/>
      </c>
      <c r="H1810" s="10">
        <f>(A1810-B1810-(D1810-1))/(A1810-(D1810-1))</f>
        <v/>
      </c>
      <c r="I1810" s="9">
        <f>A1810&amp;'x'&amp;B1810</f>
        <v/>
      </c>
      <c r="J1810" s="9">
        <f>IF(AND(G1810&gt;0.9,G1810&lt;1),"OK","CHECK")</f>
        <v/>
      </c>
    </row>
    <row r="1811">
      <c r="A1811" s="9" t="n">
        <v>49</v>
      </c>
      <c r="B1811" s="9" t="n">
        <v>19</v>
      </c>
      <c r="C1811" s="9" t="n">
        <v>30</v>
      </c>
      <c r="D1811" s="9" t="n">
        <v>11</v>
      </c>
      <c r="E1811" s="10">
        <f>COMBIN(A1811,D1811)/COMBIN(A1811-B1811,D1811)</f>
        <v/>
      </c>
      <c r="F1811" s="11">
        <f>ROUNDUP(E1811*Controls!$B$4,4)</f>
        <v/>
      </c>
      <c r="G1811" s="12">
        <f>F1811/E1811</f>
        <v/>
      </c>
      <c r="H1811" s="10">
        <f>(A1811-B1811-(D1811-1))/(A1811-(D1811-1))</f>
        <v/>
      </c>
      <c r="I1811" s="9">
        <f>A1811&amp;'x'&amp;B1811</f>
        <v/>
      </c>
      <c r="J1811" s="9">
        <f>IF(AND(G1811&gt;0.9,G1811&lt;1),"OK","CHECK")</f>
        <v/>
      </c>
    </row>
    <row r="1812">
      <c r="A1812" s="9" t="n">
        <v>49</v>
      </c>
      <c r="B1812" s="9" t="n">
        <v>19</v>
      </c>
      <c r="C1812" s="9" t="n">
        <v>30</v>
      </c>
      <c r="D1812" s="9" t="n">
        <v>12</v>
      </c>
      <c r="E1812" s="10">
        <f>COMBIN(A1812,D1812)/COMBIN(A1812-B1812,D1812)</f>
        <v/>
      </c>
      <c r="F1812" s="11">
        <f>ROUNDUP(E1812*Controls!$B$4,4)</f>
        <v/>
      </c>
      <c r="G1812" s="12">
        <f>F1812/E1812</f>
        <v/>
      </c>
      <c r="H1812" s="10">
        <f>(A1812-B1812-(D1812-1))/(A1812-(D1812-1))</f>
        <v/>
      </c>
      <c r="I1812" s="9">
        <f>A1812&amp;'x'&amp;B1812</f>
        <v/>
      </c>
      <c r="J1812" s="9">
        <f>IF(AND(G1812&gt;0.9,G1812&lt;1),"OK","CHECK")</f>
        <v/>
      </c>
    </row>
    <row r="1813">
      <c r="A1813" s="9" t="n">
        <v>49</v>
      </c>
      <c r="B1813" s="9" t="n">
        <v>19</v>
      </c>
      <c r="C1813" s="9" t="n">
        <v>30</v>
      </c>
      <c r="D1813" s="9" t="n">
        <v>13</v>
      </c>
      <c r="E1813" s="10">
        <f>COMBIN(A1813,D1813)/COMBIN(A1813-B1813,D1813)</f>
        <v/>
      </c>
      <c r="F1813" s="11">
        <f>ROUNDUP(E1813*Controls!$B$4,4)</f>
        <v/>
      </c>
      <c r="G1813" s="12">
        <f>F1813/E1813</f>
        <v/>
      </c>
      <c r="H1813" s="10">
        <f>(A1813-B1813-(D1813-1))/(A1813-(D1813-1))</f>
        <v/>
      </c>
      <c r="I1813" s="9">
        <f>A1813&amp;'x'&amp;B1813</f>
        <v/>
      </c>
      <c r="J1813" s="9">
        <f>IF(AND(G1813&gt;0.9,G1813&lt;1),"OK","CHECK")</f>
        <v/>
      </c>
    </row>
    <row r="1814">
      <c r="A1814" s="9" t="n">
        <v>49</v>
      </c>
      <c r="B1814" s="9" t="n">
        <v>19</v>
      </c>
      <c r="C1814" s="9" t="n">
        <v>30</v>
      </c>
      <c r="D1814" s="9" t="n">
        <v>14</v>
      </c>
      <c r="E1814" s="10">
        <f>COMBIN(A1814,D1814)/COMBIN(A1814-B1814,D1814)</f>
        <v/>
      </c>
      <c r="F1814" s="11">
        <f>ROUNDUP(E1814*Controls!$B$4,4)</f>
        <v/>
      </c>
      <c r="G1814" s="12">
        <f>F1814/E1814</f>
        <v/>
      </c>
      <c r="H1814" s="10">
        <f>(A1814-B1814-(D1814-1))/(A1814-(D1814-1))</f>
        <v/>
      </c>
      <c r="I1814" s="9">
        <f>A1814&amp;'x'&amp;B1814</f>
        <v/>
      </c>
      <c r="J1814" s="9">
        <f>IF(AND(G1814&gt;0.9,G1814&lt;1),"OK","CHECK")</f>
        <v/>
      </c>
    </row>
    <row r="1815">
      <c r="A1815" s="9" t="n">
        <v>49</v>
      </c>
      <c r="B1815" s="9" t="n">
        <v>19</v>
      </c>
      <c r="C1815" s="9" t="n">
        <v>30</v>
      </c>
      <c r="D1815" s="9" t="n">
        <v>15</v>
      </c>
      <c r="E1815" s="10">
        <f>COMBIN(A1815,D1815)/COMBIN(A1815-B1815,D1815)</f>
        <v/>
      </c>
      <c r="F1815" s="11">
        <f>ROUNDUP(E1815*Controls!$B$4,4)</f>
        <v/>
      </c>
      <c r="G1815" s="12">
        <f>F1815/E1815</f>
        <v/>
      </c>
      <c r="H1815" s="10">
        <f>(A1815-B1815-(D1815-1))/(A1815-(D1815-1))</f>
        <v/>
      </c>
      <c r="I1815" s="9">
        <f>A1815&amp;'x'&amp;B1815</f>
        <v/>
      </c>
      <c r="J1815" s="9">
        <f>IF(AND(G1815&gt;0.9,G1815&lt;1),"OK","CHECK")</f>
        <v/>
      </c>
    </row>
    <row r="1816">
      <c r="A1816" s="9" t="n">
        <v>49</v>
      </c>
      <c r="B1816" s="9" t="n">
        <v>19</v>
      </c>
      <c r="C1816" s="9" t="n">
        <v>30</v>
      </c>
      <c r="D1816" s="9" t="n">
        <v>16</v>
      </c>
      <c r="E1816" s="10">
        <f>COMBIN(A1816,D1816)/COMBIN(A1816-B1816,D1816)</f>
        <v/>
      </c>
      <c r="F1816" s="11">
        <f>ROUNDUP(E1816*Controls!$B$4,4)</f>
        <v/>
      </c>
      <c r="G1816" s="12">
        <f>F1816/E1816</f>
        <v/>
      </c>
      <c r="H1816" s="10">
        <f>(A1816-B1816-(D1816-1))/(A1816-(D1816-1))</f>
        <v/>
      </c>
      <c r="I1816" s="9">
        <f>A1816&amp;'x'&amp;B1816</f>
        <v/>
      </c>
      <c r="J1816" s="9">
        <f>IF(AND(G1816&gt;0.9,G1816&lt;1),"OK","CHECK")</f>
        <v/>
      </c>
    </row>
    <row r="1817">
      <c r="A1817" s="9" t="n">
        <v>49</v>
      </c>
      <c r="B1817" s="9" t="n">
        <v>19</v>
      </c>
      <c r="C1817" s="9" t="n">
        <v>30</v>
      </c>
      <c r="D1817" s="9" t="n">
        <v>17</v>
      </c>
      <c r="E1817" s="10">
        <f>COMBIN(A1817,D1817)/COMBIN(A1817-B1817,D1817)</f>
        <v/>
      </c>
      <c r="F1817" s="11">
        <f>ROUNDUP(E1817*Controls!$B$4,4)</f>
        <v/>
      </c>
      <c r="G1817" s="12">
        <f>F1817/E1817</f>
        <v/>
      </c>
      <c r="H1817" s="10">
        <f>(A1817-B1817-(D1817-1))/(A1817-(D1817-1))</f>
        <v/>
      </c>
      <c r="I1817" s="9">
        <f>A1817&amp;'x'&amp;B1817</f>
        <v/>
      </c>
      <c r="J1817" s="9">
        <f>IF(AND(G1817&gt;0.9,G1817&lt;1),"OK","CHECK")</f>
        <v/>
      </c>
    </row>
    <row r="1818">
      <c r="A1818" s="9" t="n">
        <v>49</v>
      </c>
      <c r="B1818" s="9" t="n">
        <v>19</v>
      </c>
      <c r="C1818" s="9" t="n">
        <v>30</v>
      </c>
      <c r="D1818" s="9" t="n">
        <v>18</v>
      </c>
      <c r="E1818" s="10">
        <f>COMBIN(A1818,D1818)/COMBIN(A1818-B1818,D1818)</f>
        <v/>
      </c>
      <c r="F1818" s="11">
        <f>ROUNDUP(E1818*Controls!$B$4,4)</f>
        <v/>
      </c>
      <c r="G1818" s="12">
        <f>F1818/E1818</f>
        <v/>
      </c>
      <c r="H1818" s="10">
        <f>(A1818-B1818-(D1818-1))/(A1818-(D1818-1))</f>
        <v/>
      </c>
      <c r="I1818" s="9">
        <f>A1818&amp;'x'&amp;B1818</f>
        <v/>
      </c>
      <c r="J1818" s="9">
        <f>IF(AND(G1818&gt;0.9,G1818&lt;1),"OK","CHECK")</f>
        <v/>
      </c>
    </row>
    <row r="1819">
      <c r="A1819" s="9" t="n">
        <v>49</v>
      </c>
      <c r="B1819" s="9" t="n">
        <v>19</v>
      </c>
      <c r="C1819" s="9" t="n">
        <v>30</v>
      </c>
      <c r="D1819" s="9" t="n">
        <v>19</v>
      </c>
      <c r="E1819" s="10">
        <f>COMBIN(A1819,D1819)/COMBIN(A1819-B1819,D1819)</f>
        <v/>
      </c>
      <c r="F1819" s="11">
        <f>ROUNDUP(E1819*Controls!$B$4,4)</f>
        <v/>
      </c>
      <c r="G1819" s="12">
        <f>F1819/E1819</f>
        <v/>
      </c>
      <c r="H1819" s="10">
        <f>(A1819-B1819-(D1819-1))/(A1819-(D1819-1))</f>
        <v/>
      </c>
      <c r="I1819" s="9">
        <f>A1819&amp;'x'&amp;B1819</f>
        <v/>
      </c>
      <c r="J1819" s="9">
        <f>IF(AND(G1819&gt;0.9,G1819&lt;1),"OK","CHECK")</f>
        <v/>
      </c>
    </row>
    <row r="1820">
      <c r="A1820" s="9" t="n">
        <v>49</v>
      </c>
      <c r="B1820" s="9" t="n">
        <v>19</v>
      </c>
      <c r="C1820" s="9" t="n">
        <v>30</v>
      </c>
      <c r="D1820" s="9" t="n">
        <v>20</v>
      </c>
      <c r="E1820" s="10">
        <f>COMBIN(A1820,D1820)/COMBIN(A1820-B1820,D1820)</f>
        <v/>
      </c>
      <c r="F1820" s="11">
        <f>ROUNDUP(E1820*Controls!$B$4,4)</f>
        <v/>
      </c>
      <c r="G1820" s="12">
        <f>F1820/E1820</f>
        <v/>
      </c>
      <c r="H1820" s="10">
        <f>(A1820-B1820-(D1820-1))/(A1820-(D1820-1))</f>
        <v/>
      </c>
      <c r="I1820" s="9">
        <f>A1820&amp;'x'&amp;B1820</f>
        <v/>
      </c>
      <c r="J1820" s="9">
        <f>IF(AND(G1820&gt;0.9,G1820&lt;1),"OK","CHECK")</f>
        <v/>
      </c>
    </row>
    <row r="1821">
      <c r="A1821" s="9" t="n">
        <v>49</v>
      </c>
      <c r="B1821" s="9" t="n">
        <v>19</v>
      </c>
      <c r="C1821" s="9" t="n">
        <v>30</v>
      </c>
      <c r="D1821" s="9" t="n">
        <v>21</v>
      </c>
      <c r="E1821" s="10">
        <f>COMBIN(A1821,D1821)/COMBIN(A1821-B1821,D1821)</f>
        <v/>
      </c>
      <c r="F1821" s="11">
        <f>ROUNDUP(E1821*Controls!$B$4,4)</f>
        <v/>
      </c>
      <c r="G1821" s="12">
        <f>F1821/E1821</f>
        <v/>
      </c>
      <c r="H1821" s="10">
        <f>(A1821-B1821-(D1821-1))/(A1821-(D1821-1))</f>
        <v/>
      </c>
      <c r="I1821" s="9">
        <f>A1821&amp;'x'&amp;B1821</f>
        <v/>
      </c>
      <c r="J1821" s="9">
        <f>IF(AND(G1821&gt;0.9,G1821&lt;1),"OK","CHECK")</f>
        <v/>
      </c>
    </row>
    <row r="1822">
      <c r="A1822" s="9" t="n">
        <v>49</v>
      </c>
      <c r="B1822" s="9" t="n">
        <v>19</v>
      </c>
      <c r="C1822" s="9" t="n">
        <v>30</v>
      </c>
      <c r="D1822" s="9" t="n">
        <v>22</v>
      </c>
      <c r="E1822" s="10">
        <f>COMBIN(A1822,D1822)/COMBIN(A1822-B1822,D1822)</f>
        <v/>
      </c>
      <c r="F1822" s="11">
        <f>ROUNDUP(E1822*Controls!$B$4,4)</f>
        <v/>
      </c>
      <c r="G1822" s="12">
        <f>F1822/E1822</f>
        <v/>
      </c>
      <c r="H1822" s="10">
        <f>(A1822-B1822-(D1822-1))/(A1822-(D1822-1))</f>
        <v/>
      </c>
      <c r="I1822" s="9">
        <f>A1822&amp;'x'&amp;B1822</f>
        <v/>
      </c>
      <c r="J1822" s="9">
        <f>IF(AND(G1822&gt;0.9,G1822&lt;1),"OK","CHECK")</f>
        <v/>
      </c>
    </row>
    <row r="1823">
      <c r="A1823" s="9" t="n">
        <v>49</v>
      </c>
      <c r="B1823" s="9" t="n">
        <v>19</v>
      </c>
      <c r="C1823" s="9" t="n">
        <v>30</v>
      </c>
      <c r="D1823" s="9" t="n">
        <v>23</v>
      </c>
      <c r="E1823" s="10">
        <f>COMBIN(A1823,D1823)/COMBIN(A1823-B1823,D1823)</f>
        <v/>
      </c>
      <c r="F1823" s="11">
        <f>ROUNDUP(E1823*Controls!$B$4,4)</f>
        <v/>
      </c>
      <c r="G1823" s="12">
        <f>F1823/E1823</f>
        <v/>
      </c>
      <c r="H1823" s="10">
        <f>(A1823-B1823-(D1823-1))/(A1823-(D1823-1))</f>
        <v/>
      </c>
      <c r="I1823" s="9">
        <f>A1823&amp;'x'&amp;B1823</f>
        <v/>
      </c>
      <c r="J1823" s="9">
        <f>IF(AND(G1823&gt;0.9,G1823&lt;1),"OK","CHECK")</f>
        <v/>
      </c>
    </row>
    <row r="1824">
      <c r="A1824" s="9" t="n">
        <v>49</v>
      </c>
      <c r="B1824" s="9" t="n">
        <v>19</v>
      </c>
      <c r="C1824" s="9" t="n">
        <v>30</v>
      </c>
      <c r="D1824" s="9" t="n">
        <v>24</v>
      </c>
      <c r="E1824" s="10">
        <f>COMBIN(A1824,D1824)/COMBIN(A1824-B1824,D1824)</f>
        <v/>
      </c>
      <c r="F1824" s="11">
        <f>ROUNDUP(E1824*Controls!$B$4,4)</f>
        <v/>
      </c>
      <c r="G1824" s="12">
        <f>F1824/E1824</f>
        <v/>
      </c>
      <c r="H1824" s="10">
        <f>(A1824-B1824-(D1824-1))/(A1824-(D1824-1))</f>
        <v/>
      </c>
      <c r="I1824" s="9">
        <f>A1824&amp;'x'&amp;B1824</f>
        <v/>
      </c>
      <c r="J1824" s="9">
        <f>IF(AND(G1824&gt;0.9,G1824&lt;1),"OK","CHECK")</f>
        <v/>
      </c>
    </row>
    <row r="1825">
      <c r="A1825" s="9" t="n">
        <v>49</v>
      </c>
      <c r="B1825" s="9" t="n">
        <v>19</v>
      </c>
      <c r="C1825" s="9" t="n">
        <v>30</v>
      </c>
      <c r="D1825" s="9" t="n">
        <v>25</v>
      </c>
      <c r="E1825" s="10">
        <f>COMBIN(A1825,D1825)/COMBIN(A1825-B1825,D1825)</f>
        <v/>
      </c>
      <c r="F1825" s="11">
        <f>ROUNDUP(E1825*Controls!$B$4,4)</f>
        <v/>
      </c>
      <c r="G1825" s="12">
        <f>F1825/E1825</f>
        <v/>
      </c>
      <c r="H1825" s="10">
        <f>(A1825-B1825-(D1825-1))/(A1825-(D1825-1))</f>
        <v/>
      </c>
      <c r="I1825" s="9">
        <f>A1825&amp;'x'&amp;B1825</f>
        <v/>
      </c>
      <c r="J1825" s="9">
        <f>IF(AND(G1825&gt;0.9,G1825&lt;1),"OK","CHECK")</f>
        <v/>
      </c>
    </row>
    <row r="1826">
      <c r="A1826" s="9" t="n">
        <v>49</v>
      </c>
      <c r="B1826" s="9" t="n">
        <v>19</v>
      </c>
      <c r="C1826" s="9" t="n">
        <v>30</v>
      </c>
      <c r="D1826" s="9" t="n">
        <v>26</v>
      </c>
      <c r="E1826" s="10">
        <f>COMBIN(A1826,D1826)/COMBIN(A1826-B1826,D1826)</f>
        <v/>
      </c>
      <c r="F1826" s="11">
        <f>ROUNDUP(E1826*Controls!$B$4,4)</f>
        <v/>
      </c>
      <c r="G1826" s="12">
        <f>F1826/E1826</f>
        <v/>
      </c>
      <c r="H1826" s="10">
        <f>(A1826-B1826-(D1826-1))/(A1826-(D1826-1))</f>
        <v/>
      </c>
      <c r="I1826" s="9">
        <f>A1826&amp;'x'&amp;B1826</f>
        <v/>
      </c>
      <c r="J1826" s="9">
        <f>IF(AND(G1826&gt;0.9,G1826&lt;1),"OK","CHECK")</f>
        <v/>
      </c>
    </row>
    <row r="1827">
      <c r="A1827" s="9" t="n">
        <v>49</v>
      </c>
      <c r="B1827" s="9" t="n">
        <v>19</v>
      </c>
      <c r="C1827" s="9" t="n">
        <v>30</v>
      </c>
      <c r="D1827" s="9" t="n">
        <v>27</v>
      </c>
      <c r="E1827" s="10">
        <f>COMBIN(A1827,D1827)/COMBIN(A1827-B1827,D1827)</f>
        <v/>
      </c>
      <c r="F1827" s="11">
        <f>ROUNDUP(E1827*Controls!$B$4,4)</f>
        <v/>
      </c>
      <c r="G1827" s="12">
        <f>F1827/E1827</f>
        <v/>
      </c>
      <c r="H1827" s="10">
        <f>(A1827-B1827-(D1827-1))/(A1827-(D1827-1))</f>
        <v/>
      </c>
      <c r="I1827" s="9">
        <f>A1827&amp;'x'&amp;B1827</f>
        <v/>
      </c>
      <c r="J1827" s="9">
        <f>IF(AND(G1827&gt;0.9,G1827&lt;1),"OK","CHECK")</f>
        <v/>
      </c>
    </row>
    <row r="1828">
      <c r="A1828" s="9" t="n">
        <v>49</v>
      </c>
      <c r="B1828" s="9" t="n">
        <v>19</v>
      </c>
      <c r="C1828" s="9" t="n">
        <v>30</v>
      </c>
      <c r="D1828" s="9" t="n">
        <v>28</v>
      </c>
      <c r="E1828" s="10">
        <f>COMBIN(A1828,D1828)/COMBIN(A1828-B1828,D1828)</f>
        <v/>
      </c>
      <c r="F1828" s="11">
        <f>ROUNDUP(E1828*Controls!$B$4,4)</f>
        <v/>
      </c>
      <c r="G1828" s="12">
        <f>F1828/E1828</f>
        <v/>
      </c>
      <c r="H1828" s="10">
        <f>(A1828-B1828-(D1828-1))/(A1828-(D1828-1))</f>
        <v/>
      </c>
      <c r="I1828" s="9">
        <f>A1828&amp;'x'&amp;B1828</f>
        <v/>
      </c>
      <c r="J1828" s="9">
        <f>IF(AND(G1828&gt;0.9,G1828&lt;1),"OK","CHECK")</f>
        <v/>
      </c>
    </row>
    <row r="1829">
      <c r="A1829" s="9" t="n">
        <v>49</v>
      </c>
      <c r="B1829" s="9" t="n">
        <v>19</v>
      </c>
      <c r="C1829" s="9" t="n">
        <v>30</v>
      </c>
      <c r="D1829" s="9" t="n">
        <v>29</v>
      </c>
      <c r="E1829" s="10">
        <f>COMBIN(A1829,D1829)/COMBIN(A1829-B1829,D1829)</f>
        <v/>
      </c>
      <c r="F1829" s="11">
        <f>ROUNDUP(E1829*Controls!$B$4,4)</f>
        <v/>
      </c>
      <c r="G1829" s="12">
        <f>F1829/E1829</f>
        <v/>
      </c>
      <c r="H1829" s="10">
        <f>(A1829-B1829-(D1829-1))/(A1829-(D1829-1))</f>
        <v/>
      </c>
      <c r="I1829" s="9">
        <f>A1829&amp;'x'&amp;B1829</f>
        <v/>
      </c>
      <c r="J1829" s="9">
        <f>IF(AND(G1829&gt;0.9,G1829&lt;1),"OK","CHECK")</f>
        <v/>
      </c>
    </row>
    <row r="1830">
      <c r="A1830" s="9" t="n">
        <v>49</v>
      </c>
      <c r="B1830" s="9" t="n">
        <v>19</v>
      </c>
      <c r="C1830" s="9" t="n">
        <v>30</v>
      </c>
      <c r="D1830" s="9" t="n">
        <v>30</v>
      </c>
      <c r="E1830" s="10">
        <f>COMBIN(A1830,D1830)/COMBIN(A1830-B1830,D1830)</f>
        <v/>
      </c>
      <c r="F1830" s="11">
        <f>ROUNDUP(E1830*Controls!$B$4,4)</f>
        <v/>
      </c>
      <c r="G1830" s="12">
        <f>F1830/E1830</f>
        <v/>
      </c>
      <c r="H1830" s="10">
        <f>(A1830-B1830-(D1830-1))/(A1830-(D1830-1))</f>
        <v/>
      </c>
      <c r="I1830" s="9">
        <f>A1830&amp;'x'&amp;B1830</f>
        <v/>
      </c>
      <c r="J1830" s="9">
        <f>IF(AND(G1830&gt;0.9,G1830&lt;1),"OK","CHECK")</f>
        <v/>
      </c>
    </row>
    <row r="1831">
      <c r="A1831" s="9" t="n">
        <v>49</v>
      </c>
      <c r="B1831" s="9" t="n">
        <v>20</v>
      </c>
      <c r="C1831" s="9" t="n">
        <v>29</v>
      </c>
      <c r="D1831" s="9" t="n">
        <v>1</v>
      </c>
      <c r="E1831" s="10">
        <f>COMBIN(A1831,D1831)/COMBIN(A1831-B1831,D1831)</f>
        <v/>
      </c>
      <c r="F1831" s="11">
        <f>ROUNDUP(E1831*Controls!$B$4,4)</f>
        <v/>
      </c>
      <c r="G1831" s="12">
        <f>F1831/E1831</f>
        <v/>
      </c>
      <c r="H1831" s="10">
        <f>(A1831-B1831-(D1831-1))/(A1831-(D1831-1))</f>
        <v/>
      </c>
      <c r="I1831" s="9">
        <f>A1831&amp;'x'&amp;B1831</f>
        <v/>
      </c>
      <c r="J1831" s="9">
        <f>IF(AND(G1831&gt;0.9,G1831&lt;1),"OK","CHECK")</f>
        <v/>
      </c>
    </row>
    <row r="1832">
      <c r="A1832" s="9" t="n">
        <v>49</v>
      </c>
      <c r="B1832" s="9" t="n">
        <v>20</v>
      </c>
      <c r="C1832" s="9" t="n">
        <v>29</v>
      </c>
      <c r="D1832" s="9" t="n">
        <v>2</v>
      </c>
      <c r="E1832" s="10">
        <f>COMBIN(A1832,D1832)/COMBIN(A1832-B1832,D1832)</f>
        <v/>
      </c>
      <c r="F1832" s="11">
        <f>ROUNDUP(E1832*Controls!$B$4,4)</f>
        <v/>
      </c>
      <c r="G1832" s="12">
        <f>F1832/E1832</f>
        <v/>
      </c>
      <c r="H1832" s="10">
        <f>(A1832-B1832-(D1832-1))/(A1832-(D1832-1))</f>
        <v/>
      </c>
      <c r="I1832" s="9">
        <f>A1832&amp;'x'&amp;B1832</f>
        <v/>
      </c>
      <c r="J1832" s="9">
        <f>IF(AND(G1832&gt;0.9,G1832&lt;1),"OK","CHECK")</f>
        <v/>
      </c>
    </row>
    <row r="1833">
      <c r="A1833" s="9" t="n">
        <v>49</v>
      </c>
      <c r="B1833" s="9" t="n">
        <v>20</v>
      </c>
      <c r="C1833" s="9" t="n">
        <v>29</v>
      </c>
      <c r="D1833" s="9" t="n">
        <v>3</v>
      </c>
      <c r="E1833" s="10">
        <f>COMBIN(A1833,D1833)/COMBIN(A1833-B1833,D1833)</f>
        <v/>
      </c>
      <c r="F1833" s="11">
        <f>ROUNDUP(E1833*Controls!$B$4,4)</f>
        <v/>
      </c>
      <c r="G1833" s="12">
        <f>F1833/E1833</f>
        <v/>
      </c>
      <c r="H1833" s="10">
        <f>(A1833-B1833-(D1833-1))/(A1833-(D1833-1))</f>
        <v/>
      </c>
      <c r="I1833" s="9">
        <f>A1833&amp;'x'&amp;B1833</f>
        <v/>
      </c>
      <c r="J1833" s="9">
        <f>IF(AND(G1833&gt;0.9,G1833&lt;1),"OK","CHECK")</f>
        <v/>
      </c>
    </row>
    <row r="1834">
      <c r="A1834" s="9" t="n">
        <v>49</v>
      </c>
      <c r="B1834" s="9" t="n">
        <v>20</v>
      </c>
      <c r="C1834" s="9" t="n">
        <v>29</v>
      </c>
      <c r="D1834" s="9" t="n">
        <v>4</v>
      </c>
      <c r="E1834" s="10">
        <f>COMBIN(A1834,D1834)/COMBIN(A1834-B1834,D1834)</f>
        <v/>
      </c>
      <c r="F1834" s="11">
        <f>ROUNDUP(E1834*Controls!$B$4,4)</f>
        <v/>
      </c>
      <c r="G1834" s="12">
        <f>F1834/E1834</f>
        <v/>
      </c>
      <c r="H1834" s="10">
        <f>(A1834-B1834-(D1834-1))/(A1834-(D1834-1))</f>
        <v/>
      </c>
      <c r="I1834" s="9">
        <f>A1834&amp;'x'&amp;B1834</f>
        <v/>
      </c>
      <c r="J1834" s="9">
        <f>IF(AND(G1834&gt;0.9,G1834&lt;1),"OK","CHECK")</f>
        <v/>
      </c>
    </row>
    <row r="1835">
      <c r="A1835" s="9" t="n">
        <v>49</v>
      </c>
      <c r="B1835" s="9" t="n">
        <v>20</v>
      </c>
      <c r="C1835" s="9" t="n">
        <v>29</v>
      </c>
      <c r="D1835" s="9" t="n">
        <v>5</v>
      </c>
      <c r="E1835" s="10">
        <f>COMBIN(A1835,D1835)/COMBIN(A1835-B1835,D1835)</f>
        <v/>
      </c>
      <c r="F1835" s="11">
        <f>ROUNDUP(E1835*Controls!$B$4,4)</f>
        <v/>
      </c>
      <c r="G1835" s="12">
        <f>F1835/E1835</f>
        <v/>
      </c>
      <c r="H1835" s="10">
        <f>(A1835-B1835-(D1835-1))/(A1835-(D1835-1))</f>
        <v/>
      </c>
      <c r="I1835" s="9">
        <f>A1835&amp;'x'&amp;B1835</f>
        <v/>
      </c>
      <c r="J1835" s="9">
        <f>IF(AND(G1835&gt;0.9,G1835&lt;1),"OK","CHECK")</f>
        <v/>
      </c>
    </row>
    <row r="1836">
      <c r="A1836" s="9" t="n">
        <v>49</v>
      </c>
      <c r="B1836" s="9" t="n">
        <v>20</v>
      </c>
      <c r="C1836" s="9" t="n">
        <v>29</v>
      </c>
      <c r="D1836" s="9" t="n">
        <v>6</v>
      </c>
      <c r="E1836" s="10">
        <f>COMBIN(A1836,D1836)/COMBIN(A1836-B1836,D1836)</f>
        <v/>
      </c>
      <c r="F1836" s="11">
        <f>ROUNDUP(E1836*Controls!$B$4,4)</f>
        <v/>
      </c>
      <c r="G1836" s="12">
        <f>F1836/E1836</f>
        <v/>
      </c>
      <c r="H1836" s="10">
        <f>(A1836-B1836-(D1836-1))/(A1836-(D1836-1))</f>
        <v/>
      </c>
      <c r="I1836" s="9">
        <f>A1836&amp;'x'&amp;B1836</f>
        <v/>
      </c>
      <c r="J1836" s="9">
        <f>IF(AND(G1836&gt;0.9,G1836&lt;1),"OK","CHECK")</f>
        <v/>
      </c>
    </row>
    <row r="1837">
      <c r="A1837" s="9" t="n">
        <v>49</v>
      </c>
      <c r="B1837" s="9" t="n">
        <v>20</v>
      </c>
      <c r="C1837" s="9" t="n">
        <v>29</v>
      </c>
      <c r="D1837" s="9" t="n">
        <v>7</v>
      </c>
      <c r="E1837" s="10">
        <f>COMBIN(A1837,D1837)/COMBIN(A1837-B1837,D1837)</f>
        <v/>
      </c>
      <c r="F1837" s="11">
        <f>ROUNDUP(E1837*Controls!$B$4,4)</f>
        <v/>
      </c>
      <c r="G1837" s="12">
        <f>F1837/E1837</f>
        <v/>
      </c>
      <c r="H1837" s="10">
        <f>(A1837-B1837-(D1837-1))/(A1837-(D1837-1))</f>
        <v/>
      </c>
      <c r="I1837" s="9">
        <f>A1837&amp;'x'&amp;B1837</f>
        <v/>
      </c>
      <c r="J1837" s="9">
        <f>IF(AND(G1837&gt;0.9,G1837&lt;1),"OK","CHECK")</f>
        <v/>
      </c>
    </row>
    <row r="1838">
      <c r="A1838" s="9" t="n">
        <v>49</v>
      </c>
      <c r="B1838" s="9" t="n">
        <v>20</v>
      </c>
      <c r="C1838" s="9" t="n">
        <v>29</v>
      </c>
      <c r="D1838" s="9" t="n">
        <v>8</v>
      </c>
      <c r="E1838" s="10">
        <f>COMBIN(A1838,D1838)/COMBIN(A1838-B1838,D1838)</f>
        <v/>
      </c>
      <c r="F1838" s="11">
        <f>ROUNDUP(E1838*Controls!$B$4,4)</f>
        <v/>
      </c>
      <c r="G1838" s="12">
        <f>F1838/E1838</f>
        <v/>
      </c>
      <c r="H1838" s="10">
        <f>(A1838-B1838-(D1838-1))/(A1838-(D1838-1))</f>
        <v/>
      </c>
      <c r="I1838" s="9">
        <f>A1838&amp;'x'&amp;B1838</f>
        <v/>
      </c>
      <c r="J1838" s="9">
        <f>IF(AND(G1838&gt;0.9,G1838&lt;1),"OK","CHECK")</f>
        <v/>
      </c>
    </row>
    <row r="1839">
      <c r="A1839" s="9" t="n">
        <v>49</v>
      </c>
      <c r="B1839" s="9" t="n">
        <v>20</v>
      </c>
      <c r="C1839" s="9" t="n">
        <v>29</v>
      </c>
      <c r="D1839" s="9" t="n">
        <v>9</v>
      </c>
      <c r="E1839" s="10">
        <f>COMBIN(A1839,D1839)/COMBIN(A1839-B1839,D1839)</f>
        <v/>
      </c>
      <c r="F1839" s="11">
        <f>ROUNDUP(E1839*Controls!$B$4,4)</f>
        <v/>
      </c>
      <c r="G1839" s="12">
        <f>F1839/E1839</f>
        <v/>
      </c>
      <c r="H1839" s="10">
        <f>(A1839-B1839-(D1839-1))/(A1839-(D1839-1))</f>
        <v/>
      </c>
      <c r="I1839" s="9">
        <f>A1839&amp;'x'&amp;B1839</f>
        <v/>
      </c>
      <c r="J1839" s="9">
        <f>IF(AND(G1839&gt;0.9,G1839&lt;1),"OK","CHECK")</f>
        <v/>
      </c>
    </row>
    <row r="1840">
      <c r="A1840" s="9" t="n">
        <v>49</v>
      </c>
      <c r="B1840" s="9" t="n">
        <v>20</v>
      </c>
      <c r="C1840" s="9" t="n">
        <v>29</v>
      </c>
      <c r="D1840" s="9" t="n">
        <v>10</v>
      </c>
      <c r="E1840" s="10">
        <f>COMBIN(A1840,D1840)/COMBIN(A1840-B1840,D1840)</f>
        <v/>
      </c>
      <c r="F1840" s="11">
        <f>ROUNDUP(E1840*Controls!$B$4,4)</f>
        <v/>
      </c>
      <c r="G1840" s="12">
        <f>F1840/E1840</f>
        <v/>
      </c>
      <c r="H1840" s="10">
        <f>(A1840-B1840-(D1840-1))/(A1840-(D1840-1))</f>
        <v/>
      </c>
      <c r="I1840" s="9">
        <f>A1840&amp;'x'&amp;B1840</f>
        <v/>
      </c>
      <c r="J1840" s="9">
        <f>IF(AND(G1840&gt;0.9,G1840&lt;1),"OK","CHECK")</f>
        <v/>
      </c>
    </row>
    <row r="1841">
      <c r="A1841" s="9" t="n">
        <v>49</v>
      </c>
      <c r="B1841" s="9" t="n">
        <v>20</v>
      </c>
      <c r="C1841" s="9" t="n">
        <v>29</v>
      </c>
      <c r="D1841" s="9" t="n">
        <v>11</v>
      </c>
      <c r="E1841" s="10">
        <f>COMBIN(A1841,D1841)/COMBIN(A1841-B1841,D1841)</f>
        <v/>
      </c>
      <c r="F1841" s="11">
        <f>ROUNDUP(E1841*Controls!$B$4,4)</f>
        <v/>
      </c>
      <c r="G1841" s="12">
        <f>F1841/E1841</f>
        <v/>
      </c>
      <c r="H1841" s="10">
        <f>(A1841-B1841-(D1841-1))/(A1841-(D1841-1))</f>
        <v/>
      </c>
      <c r="I1841" s="9">
        <f>A1841&amp;'x'&amp;B1841</f>
        <v/>
      </c>
      <c r="J1841" s="9">
        <f>IF(AND(G1841&gt;0.9,G1841&lt;1),"OK","CHECK")</f>
        <v/>
      </c>
    </row>
    <row r="1842">
      <c r="A1842" s="9" t="n">
        <v>49</v>
      </c>
      <c r="B1842" s="9" t="n">
        <v>20</v>
      </c>
      <c r="C1842" s="9" t="n">
        <v>29</v>
      </c>
      <c r="D1842" s="9" t="n">
        <v>12</v>
      </c>
      <c r="E1842" s="10">
        <f>COMBIN(A1842,D1842)/COMBIN(A1842-B1842,D1842)</f>
        <v/>
      </c>
      <c r="F1842" s="11">
        <f>ROUNDUP(E1842*Controls!$B$4,4)</f>
        <v/>
      </c>
      <c r="G1842" s="12">
        <f>F1842/E1842</f>
        <v/>
      </c>
      <c r="H1842" s="10">
        <f>(A1842-B1842-(D1842-1))/(A1842-(D1842-1))</f>
        <v/>
      </c>
      <c r="I1842" s="9">
        <f>A1842&amp;'x'&amp;B1842</f>
        <v/>
      </c>
      <c r="J1842" s="9">
        <f>IF(AND(G1842&gt;0.9,G1842&lt;1),"OK","CHECK")</f>
        <v/>
      </c>
    </row>
    <row r="1843">
      <c r="A1843" s="9" t="n">
        <v>49</v>
      </c>
      <c r="B1843" s="9" t="n">
        <v>20</v>
      </c>
      <c r="C1843" s="9" t="n">
        <v>29</v>
      </c>
      <c r="D1843" s="9" t="n">
        <v>13</v>
      </c>
      <c r="E1843" s="10">
        <f>COMBIN(A1843,D1843)/COMBIN(A1843-B1843,D1843)</f>
        <v/>
      </c>
      <c r="F1843" s="11">
        <f>ROUNDUP(E1843*Controls!$B$4,4)</f>
        <v/>
      </c>
      <c r="G1843" s="12">
        <f>F1843/E1843</f>
        <v/>
      </c>
      <c r="H1843" s="10">
        <f>(A1843-B1843-(D1843-1))/(A1843-(D1843-1))</f>
        <v/>
      </c>
      <c r="I1843" s="9">
        <f>A1843&amp;'x'&amp;B1843</f>
        <v/>
      </c>
      <c r="J1843" s="9">
        <f>IF(AND(G1843&gt;0.9,G1843&lt;1),"OK","CHECK")</f>
        <v/>
      </c>
    </row>
    <row r="1844">
      <c r="A1844" s="9" t="n">
        <v>49</v>
      </c>
      <c r="B1844" s="9" t="n">
        <v>20</v>
      </c>
      <c r="C1844" s="9" t="n">
        <v>29</v>
      </c>
      <c r="D1844" s="9" t="n">
        <v>14</v>
      </c>
      <c r="E1844" s="10">
        <f>COMBIN(A1844,D1844)/COMBIN(A1844-B1844,D1844)</f>
        <v/>
      </c>
      <c r="F1844" s="11">
        <f>ROUNDUP(E1844*Controls!$B$4,4)</f>
        <v/>
      </c>
      <c r="G1844" s="12">
        <f>F1844/E1844</f>
        <v/>
      </c>
      <c r="H1844" s="10">
        <f>(A1844-B1844-(D1844-1))/(A1844-(D1844-1))</f>
        <v/>
      </c>
      <c r="I1844" s="9">
        <f>A1844&amp;'x'&amp;B1844</f>
        <v/>
      </c>
      <c r="J1844" s="9">
        <f>IF(AND(G1844&gt;0.9,G1844&lt;1),"OK","CHECK")</f>
        <v/>
      </c>
    </row>
    <row r="1845">
      <c r="A1845" s="9" t="n">
        <v>49</v>
      </c>
      <c r="B1845" s="9" t="n">
        <v>20</v>
      </c>
      <c r="C1845" s="9" t="n">
        <v>29</v>
      </c>
      <c r="D1845" s="9" t="n">
        <v>15</v>
      </c>
      <c r="E1845" s="10">
        <f>COMBIN(A1845,D1845)/COMBIN(A1845-B1845,D1845)</f>
        <v/>
      </c>
      <c r="F1845" s="11">
        <f>ROUNDUP(E1845*Controls!$B$4,4)</f>
        <v/>
      </c>
      <c r="G1845" s="12">
        <f>F1845/E1845</f>
        <v/>
      </c>
      <c r="H1845" s="10">
        <f>(A1845-B1845-(D1845-1))/(A1845-(D1845-1))</f>
        <v/>
      </c>
      <c r="I1845" s="9">
        <f>A1845&amp;'x'&amp;B1845</f>
        <v/>
      </c>
      <c r="J1845" s="9">
        <f>IF(AND(G1845&gt;0.9,G1845&lt;1),"OK","CHECK")</f>
        <v/>
      </c>
    </row>
    <row r="1846">
      <c r="A1846" s="9" t="n">
        <v>49</v>
      </c>
      <c r="B1846" s="9" t="n">
        <v>20</v>
      </c>
      <c r="C1846" s="9" t="n">
        <v>29</v>
      </c>
      <c r="D1846" s="9" t="n">
        <v>16</v>
      </c>
      <c r="E1846" s="10">
        <f>COMBIN(A1846,D1846)/COMBIN(A1846-B1846,D1846)</f>
        <v/>
      </c>
      <c r="F1846" s="11">
        <f>ROUNDUP(E1846*Controls!$B$4,4)</f>
        <v/>
      </c>
      <c r="G1846" s="12">
        <f>F1846/E1846</f>
        <v/>
      </c>
      <c r="H1846" s="10">
        <f>(A1846-B1846-(D1846-1))/(A1846-(D1846-1))</f>
        <v/>
      </c>
      <c r="I1846" s="9">
        <f>A1846&amp;'x'&amp;B1846</f>
        <v/>
      </c>
      <c r="J1846" s="9">
        <f>IF(AND(G1846&gt;0.9,G1846&lt;1),"OK","CHECK")</f>
        <v/>
      </c>
    </row>
    <row r="1847">
      <c r="A1847" s="9" t="n">
        <v>49</v>
      </c>
      <c r="B1847" s="9" t="n">
        <v>20</v>
      </c>
      <c r="C1847" s="9" t="n">
        <v>29</v>
      </c>
      <c r="D1847" s="9" t="n">
        <v>17</v>
      </c>
      <c r="E1847" s="10">
        <f>COMBIN(A1847,D1847)/COMBIN(A1847-B1847,D1847)</f>
        <v/>
      </c>
      <c r="F1847" s="11">
        <f>ROUNDUP(E1847*Controls!$B$4,4)</f>
        <v/>
      </c>
      <c r="G1847" s="12">
        <f>F1847/E1847</f>
        <v/>
      </c>
      <c r="H1847" s="10">
        <f>(A1847-B1847-(D1847-1))/(A1847-(D1847-1))</f>
        <v/>
      </c>
      <c r="I1847" s="9">
        <f>A1847&amp;'x'&amp;B1847</f>
        <v/>
      </c>
      <c r="J1847" s="9">
        <f>IF(AND(G1847&gt;0.9,G1847&lt;1),"OK","CHECK")</f>
        <v/>
      </c>
    </row>
    <row r="1848">
      <c r="A1848" s="9" t="n">
        <v>49</v>
      </c>
      <c r="B1848" s="9" t="n">
        <v>20</v>
      </c>
      <c r="C1848" s="9" t="n">
        <v>29</v>
      </c>
      <c r="D1848" s="9" t="n">
        <v>18</v>
      </c>
      <c r="E1848" s="10">
        <f>COMBIN(A1848,D1848)/COMBIN(A1848-B1848,D1848)</f>
        <v/>
      </c>
      <c r="F1848" s="11">
        <f>ROUNDUP(E1848*Controls!$B$4,4)</f>
        <v/>
      </c>
      <c r="G1848" s="12">
        <f>F1848/E1848</f>
        <v/>
      </c>
      <c r="H1848" s="10">
        <f>(A1848-B1848-(D1848-1))/(A1848-(D1848-1))</f>
        <v/>
      </c>
      <c r="I1848" s="9">
        <f>A1848&amp;'x'&amp;B1848</f>
        <v/>
      </c>
      <c r="J1848" s="9">
        <f>IF(AND(G1848&gt;0.9,G1848&lt;1),"OK","CHECK")</f>
        <v/>
      </c>
    </row>
    <row r="1849">
      <c r="A1849" s="9" t="n">
        <v>49</v>
      </c>
      <c r="B1849" s="9" t="n">
        <v>20</v>
      </c>
      <c r="C1849" s="9" t="n">
        <v>29</v>
      </c>
      <c r="D1849" s="9" t="n">
        <v>19</v>
      </c>
      <c r="E1849" s="10">
        <f>COMBIN(A1849,D1849)/COMBIN(A1849-B1849,D1849)</f>
        <v/>
      </c>
      <c r="F1849" s="11">
        <f>ROUNDUP(E1849*Controls!$B$4,4)</f>
        <v/>
      </c>
      <c r="G1849" s="12">
        <f>F1849/E1849</f>
        <v/>
      </c>
      <c r="H1849" s="10">
        <f>(A1849-B1849-(D1849-1))/(A1849-(D1849-1))</f>
        <v/>
      </c>
      <c r="I1849" s="9">
        <f>A1849&amp;'x'&amp;B1849</f>
        <v/>
      </c>
      <c r="J1849" s="9">
        <f>IF(AND(G1849&gt;0.9,G1849&lt;1),"OK","CHECK")</f>
        <v/>
      </c>
    </row>
    <row r="1850">
      <c r="A1850" s="9" t="n">
        <v>49</v>
      </c>
      <c r="B1850" s="9" t="n">
        <v>20</v>
      </c>
      <c r="C1850" s="9" t="n">
        <v>29</v>
      </c>
      <c r="D1850" s="9" t="n">
        <v>20</v>
      </c>
      <c r="E1850" s="10">
        <f>COMBIN(A1850,D1850)/COMBIN(A1850-B1850,D1850)</f>
        <v/>
      </c>
      <c r="F1850" s="11">
        <f>ROUNDUP(E1850*Controls!$B$4,4)</f>
        <v/>
      </c>
      <c r="G1850" s="12">
        <f>F1850/E1850</f>
        <v/>
      </c>
      <c r="H1850" s="10">
        <f>(A1850-B1850-(D1850-1))/(A1850-(D1850-1))</f>
        <v/>
      </c>
      <c r="I1850" s="9">
        <f>A1850&amp;'x'&amp;B1850</f>
        <v/>
      </c>
      <c r="J1850" s="9">
        <f>IF(AND(G1850&gt;0.9,G1850&lt;1),"OK","CHECK")</f>
        <v/>
      </c>
    </row>
    <row r="1851">
      <c r="A1851" s="9" t="n">
        <v>49</v>
      </c>
      <c r="B1851" s="9" t="n">
        <v>20</v>
      </c>
      <c r="C1851" s="9" t="n">
        <v>29</v>
      </c>
      <c r="D1851" s="9" t="n">
        <v>21</v>
      </c>
      <c r="E1851" s="10">
        <f>COMBIN(A1851,D1851)/COMBIN(A1851-B1851,D1851)</f>
        <v/>
      </c>
      <c r="F1851" s="11">
        <f>ROUNDUP(E1851*Controls!$B$4,4)</f>
        <v/>
      </c>
      <c r="G1851" s="12">
        <f>F1851/E1851</f>
        <v/>
      </c>
      <c r="H1851" s="10">
        <f>(A1851-B1851-(D1851-1))/(A1851-(D1851-1))</f>
        <v/>
      </c>
      <c r="I1851" s="9">
        <f>A1851&amp;'x'&amp;B1851</f>
        <v/>
      </c>
      <c r="J1851" s="9">
        <f>IF(AND(G1851&gt;0.9,G1851&lt;1),"OK","CHECK")</f>
        <v/>
      </c>
    </row>
    <row r="1852">
      <c r="A1852" s="9" t="n">
        <v>49</v>
      </c>
      <c r="B1852" s="9" t="n">
        <v>20</v>
      </c>
      <c r="C1852" s="9" t="n">
        <v>29</v>
      </c>
      <c r="D1852" s="9" t="n">
        <v>22</v>
      </c>
      <c r="E1852" s="10">
        <f>COMBIN(A1852,D1852)/COMBIN(A1852-B1852,D1852)</f>
        <v/>
      </c>
      <c r="F1852" s="11">
        <f>ROUNDUP(E1852*Controls!$B$4,4)</f>
        <v/>
      </c>
      <c r="G1852" s="12">
        <f>F1852/E1852</f>
        <v/>
      </c>
      <c r="H1852" s="10">
        <f>(A1852-B1852-(D1852-1))/(A1852-(D1852-1))</f>
        <v/>
      </c>
      <c r="I1852" s="9">
        <f>A1852&amp;'x'&amp;B1852</f>
        <v/>
      </c>
      <c r="J1852" s="9">
        <f>IF(AND(G1852&gt;0.9,G1852&lt;1),"OK","CHECK")</f>
        <v/>
      </c>
    </row>
    <row r="1853">
      <c r="A1853" s="9" t="n">
        <v>49</v>
      </c>
      <c r="B1853" s="9" t="n">
        <v>20</v>
      </c>
      <c r="C1853" s="9" t="n">
        <v>29</v>
      </c>
      <c r="D1853" s="9" t="n">
        <v>23</v>
      </c>
      <c r="E1853" s="10">
        <f>COMBIN(A1853,D1853)/COMBIN(A1853-B1853,D1853)</f>
        <v/>
      </c>
      <c r="F1853" s="11">
        <f>ROUNDUP(E1853*Controls!$B$4,4)</f>
        <v/>
      </c>
      <c r="G1853" s="12">
        <f>F1853/E1853</f>
        <v/>
      </c>
      <c r="H1853" s="10">
        <f>(A1853-B1853-(D1853-1))/(A1853-(D1853-1))</f>
        <v/>
      </c>
      <c r="I1853" s="9">
        <f>A1853&amp;'x'&amp;B1853</f>
        <v/>
      </c>
      <c r="J1853" s="9">
        <f>IF(AND(G1853&gt;0.9,G1853&lt;1),"OK","CHECK")</f>
        <v/>
      </c>
    </row>
    <row r="1854">
      <c r="A1854" s="9" t="n">
        <v>49</v>
      </c>
      <c r="B1854" s="9" t="n">
        <v>20</v>
      </c>
      <c r="C1854" s="9" t="n">
        <v>29</v>
      </c>
      <c r="D1854" s="9" t="n">
        <v>24</v>
      </c>
      <c r="E1854" s="10">
        <f>COMBIN(A1854,D1854)/COMBIN(A1854-B1854,D1854)</f>
        <v/>
      </c>
      <c r="F1854" s="11">
        <f>ROUNDUP(E1854*Controls!$B$4,4)</f>
        <v/>
      </c>
      <c r="G1854" s="12">
        <f>F1854/E1854</f>
        <v/>
      </c>
      <c r="H1854" s="10">
        <f>(A1854-B1854-(D1854-1))/(A1854-(D1854-1))</f>
        <v/>
      </c>
      <c r="I1854" s="9">
        <f>A1854&amp;'x'&amp;B1854</f>
        <v/>
      </c>
      <c r="J1854" s="9">
        <f>IF(AND(G1854&gt;0.9,G1854&lt;1),"OK","CHECK")</f>
        <v/>
      </c>
    </row>
    <row r="1855">
      <c r="A1855" s="9" t="n">
        <v>49</v>
      </c>
      <c r="B1855" s="9" t="n">
        <v>20</v>
      </c>
      <c r="C1855" s="9" t="n">
        <v>29</v>
      </c>
      <c r="D1855" s="9" t="n">
        <v>25</v>
      </c>
      <c r="E1855" s="10">
        <f>COMBIN(A1855,D1855)/COMBIN(A1855-B1855,D1855)</f>
        <v/>
      </c>
      <c r="F1855" s="11">
        <f>ROUNDUP(E1855*Controls!$B$4,4)</f>
        <v/>
      </c>
      <c r="G1855" s="12">
        <f>F1855/E1855</f>
        <v/>
      </c>
      <c r="H1855" s="10">
        <f>(A1855-B1855-(D1855-1))/(A1855-(D1855-1))</f>
        <v/>
      </c>
      <c r="I1855" s="9">
        <f>A1855&amp;'x'&amp;B1855</f>
        <v/>
      </c>
      <c r="J1855" s="9">
        <f>IF(AND(G1855&gt;0.9,G1855&lt;1),"OK","CHECK")</f>
        <v/>
      </c>
    </row>
    <row r="1856">
      <c r="A1856" s="9" t="n">
        <v>49</v>
      </c>
      <c r="B1856" s="9" t="n">
        <v>20</v>
      </c>
      <c r="C1856" s="9" t="n">
        <v>29</v>
      </c>
      <c r="D1856" s="9" t="n">
        <v>26</v>
      </c>
      <c r="E1856" s="10">
        <f>COMBIN(A1856,D1856)/COMBIN(A1856-B1856,D1856)</f>
        <v/>
      </c>
      <c r="F1856" s="11">
        <f>ROUNDUP(E1856*Controls!$B$4,4)</f>
        <v/>
      </c>
      <c r="G1856" s="12">
        <f>F1856/E1856</f>
        <v/>
      </c>
      <c r="H1856" s="10">
        <f>(A1856-B1856-(D1856-1))/(A1856-(D1856-1))</f>
        <v/>
      </c>
      <c r="I1856" s="9">
        <f>A1856&amp;'x'&amp;B1856</f>
        <v/>
      </c>
      <c r="J1856" s="9">
        <f>IF(AND(G1856&gt;0.9,G1856&lt;1),"OK","CHECK")</f>
        <v/>
      </c>
    </row>
    <row r="1857">
      <c r="A1857" s="9" t="n">
        <v>49</v>
      </c>
      <c r="B1857" s="9" t="n">
        <v>20</v>
      </c>
      <c r="C1857" s="9" t="n">
        <v>29</v>
      </c>
      <c r="D1857" s="9" t="n">
        <v>27</v>
      </c>
      <c r="E1857" s="10">
        <f>COMBIN(A1857,D1857)/COMBIN(A1857-B1857,D1857)</f>
        <v/>
      </c>
      <c r="F1857" s="11">
        <f>ROUNDUP(E1857*Controls!$B$4,4)</f>
        <v/>
      </c>
      <c r="G1857" s="12">
        <f>F1857/E1857</f>
        <v/>
      </c>
      <c r="H1857" s="10">
        <f>(A1857-B1857-(D1857-1))/(A1857-(D1857-1))</f>
        <v/>
      </c>
      <c r="I1857" s="9">
        <f>A1857&amp;'x'&amp;B1857</f>
        <v/>
      </c>
      <c r="J1857" s="9">
        <f>IF(AND(G1857&gt;0.9,G1857&lt;1),"OK","CHECK")</f>
        <v/>
      </c>
    </row>
    <row r="1858">
      <c r="A1858" s="9" t="n">
        <v>49</v>
      </c>
      <c r="B1858" s="9" t="n">
        <v>20</v>
      </c>
      <c r="C1858" s="9" t="n">
        <v>29</v>
      </c>
      <c r="D1858" s="9" t="n">
        <v>28</v>
      </c>
      <c r="E1858" s="10">
        <f>COMBIN(A1858,D1858)/COMBIN(A1858-B1858,D1858)</f>
        <v/>
      </c>
      <c r="F1858" s="11">
        <f>ROUNDUP(E1858*Controls!$B$4,4)</f>
        <v/>
      </c>
      <c r="G1858" s="12">
        <f>F1858/E1858</f>
        <v/>
      </c>
      <c r="H1858" s="10">
        <f>(A1858-B1858-(D1858-1))/(A1858-(D1858-1))</f>
        <v/>
      </c>
      <c r="I1858" s="9">
        <f>A1858&amp;'x'&amp;B1858</f>
        <v/>
      </c>
      <c r="J1858" s="9">
        <f>IF(AND(G1858&gt;0.9,G1858&lt;1),"OK","CHECK")</f>
        <v/>
      </c>
    </row>
    <row r="1859">
      <c r="A1859" s="9" t="n">
        <v>49</v>
      </c>
      <c r="B1859" s="9" t="n">
        <v>20</v>
      </c>
      <c r="C1859" s="9" t="n">
        <v>29</v>
      </c>
      <c r="D1859" s="9" t="n">
        <v>29</v>
      </c>
      <c r="E1859" s="10">
        <f>COMBIN(A1859,D1859)/COMBIN(A1859-B1859,D1859)</f>
        <v/>
      </c>
      <c r="F1859" s="11">
        <f>ROUNDUP(E1859*Controls!$B$4,4)</f>
        <v/>
      </c>
      <c r="G1859" s="12">
        <f>F1859/E1859</f>
        <v/>
      </c>
      <c r="H1859" s="10">
        <f>(A1859-B1859-(D1859-1))/(A1859-(D1859-1))</f>
        <v/>
      </c>
      <c r="I1859" s="9">
        <f>A1859&amp;'x'&amp;B1859</f>
        <v/>
      </c>
      <c r="J1859" s="9">
        <f>IF(AND(G1859&gt;0.9,G1859&lt;1),"OK","CHECK")</f>
        <v/>
      </c>
    </row>
    <row r="1860">
      <c r="A1860" s="9" t="n">
        <v>49</v>
      </c>
      <c r="B1860" s="9" t="n">
        <v>21</v>
      </c>
      <c r="C1860" s="9" t="n">
        <v>28</v>
      </c>
      <c r="D1860" s="9" t="n">
        <v>1</v>
      </c>
      <c r="E1860" s="10">
        <f>COMBIN(A1860,D1860)/COMBIN(A1860-B1860,D1860)</f>
        <v/>
      </c>
      <c r="F1860" s="11">
        <f>ROUNDUP(E1860*Controls!$B$4,4)</f>
        <v/>
      </c>
      <c r="G1860" s="12">
        <f>F1860/E1860</f>
        <v/>
      </c>
      <c r="H1860" s="10">
        <f>(A1860-B1860-(D1860-1))/(A1860-(D1860-1))</f>
        <v/>
      </c>
      <c r="I1860" s="9">
        <f>A1860&amp;'x'&amp;B1860</f>
        <v/>
      </c>
      <c r="J1860" s="9">
        <f>IF(AND(G1860&gt;0.9,G1860&lt;1),"OK","CHECK")</f>
        <v/>
      </c>
    </row>
    <row r="1861">
      <c r="A1861" s="9" t="n">
        <v>49</v>
      </c>
      <c r="B1861" s="9" t="n">
        <v>21</v>
      </c>
      <c r="C1861" s="9" t="n">
        <v>28</v>
      </c>
      <c r="D1861" s="9" t="n">
        <v>2</v>
      </c>
      <c r="E1861" s="10">
        <f>COMBIN(A1861,D1861)/COMBIN(A1861-B1861,D1861)</f>
        <v/>
      </c>
      <c r="F1861" s="11">
        <f>ROUNDUP(E1861*Controls!$B$4,4)</f>
        <v/>
      </c>
      <c r="G1861" s="12">
        <f>F1861/E1861</f>
        <v/>
      </c>
      <c r="H1861" s="10">
        <f>(A1861-B1861-(D1861-1))/(A1861-(D1861-1))</f>
        <v/>
      </c>
      <c r="I1861" s="9">
        <f>A1861&amp;'x'&amp;B1861</f>
        <v/>
      </c>
      <c r="J1861" s="9">
        <f>IF(AND(G1861&gt;0.9,G1861&lt;1),"OK","CHECK")</f>
        <v/>
      </c>
    </row>
    <row r="1862">
      <c r="A1862" s="9" t="n">
        <v>49</v>
      </c>
      <c r="B1862" s="9" t="n">
        <v>21</v>
      </c>
      <c r="C1862" s="9" t="n">
        <v>28</v>
      </c>
      <c r="D1862" s="9" t="n">
        <v>3</v>
      </c>
      <c r="E1862" s="10">
        <f>COMBIN(A1862,D1862)/COMBIN(A1862-B1862,D1862)</f>
        <v/>
      </c>
      <c r="F1862" s="11">
        <f>ROUNDUP(E1862*Controls!$B$4,4)</f>
        <v/>
      </c>
      <c r="G1862" s="12">
        <f>F1862/E1862</f>
        <v/>
      </c>
      <c r="H1862" s="10">
        <f>(A1862-B1862-(D1862-1))/(A1862-(D1862-1))</f>
        <v/>
      </c>
      <c r="I1862" s="9">
        <f>A1862&amp;'x'&amp;B1862</f>
        <v/>
      </c>
      <c r="J1862" s="9">
        <f>IF(AND(G1862&gt;0.9,G1862&lt;1),"OK","CHECK")</f>
        <v/>
      </c>
    </row>
    <row r="1863">
      <c r="A1863" s="9" t="n">
        <v>49</v>
      </c>
      <c r="B1863" s="9" t="n">
        <v>21</v>
      </c>
      <c r="C1863" s="9" t="n">
        <v>28</v>
      </c>
      <c r="D1863" s="9" t="n">
        <v>4</v>
      </c>
      <c r="E1863" s="10">
        <f>COMBIN(A1863,D1863)/COMBIN(A1863-B1863,D1863)</f>
        <v/>
      </c>
      <c r="F1863" s="11">
        <f>ROUNDUP(E1863*Controls!$B$4,4)</f>
        <v/>
      </c>
      <c r="G1863" s="12">
        <f>F1863/E1863</f>
        <v/>
      </c>
      <c r="H1863" s="10">
        <f>(A1863-B1863-(D1863-1))/(A1863-(D1863-1))</f>
        <v/>
      </c>
      <c r="I1863" s="9">
        <f>A1863&amp;'x'&amp;B1863</f>
        <v/>
      </c>
      <c r="J1863" s="9">
        <f>IF(AND(G1863&gt;0.9,G1863&lt;1),"OK","CHECK")</f>
        <v/>
      </c>
    </row>
    <row r="1864">
      <c r="A1864" s="9" t="n">
        <v>49</v>
      </c>
      <c r="B1864" s="9" t="n">
        <v>21</v>
      </c>
      <c r="C1864" s="9" t="n">
        <v>28</v>
      </c>
      <c r="D1864" s="9" t="n">
        <v>5</v>
      </c>
      <c r="E1864" s="10">
        <f>COMBIN(A1864,D1864)/COMBIN(A1864-B1864,D1864)</f>
        <v/>
      </c>
      <c r="F1864" s="11">
        <f>ROUNDUP(E1864*Controls!$B$4,4)</f>
        <v/>
      </c>
      <c r="G1864" s="12">
        <f>F1864/E1864</f>
        <v/>
      </c>
      <c r="H1864" s="10">
        <f>(A1864-B1864-(D1864-1))/(A1864-(D1864-1))</f>
        <v/>
      </c>
      <c r="I1864" s="9">
        <f>A1864&amp;'x'&amp;B1864</f>
        <v/>
      </c>
      <c r="J1864" s="9">
        <f>IF(AND(G1864&gt;0.9,G1864&lt;1),"OK","CHECK")</f>
        <v/>
      </c>
    </row>
    <row r="1865">
      <c r="A1865" s="9" t="n">
        <v>49</v>
      </c>
      <c r="B1865" s="9" t="n">
        <v>21</v>
      </c>
      <c r="C1865" s="9" t="n">
        <v>28</v>
      </c>
      <c r="D1865" s="9" t="n">
        <v>6</v>
      </c>
      <c r="E1865" s="10">
        <f>COMBIN(A1865,D1865)/COMBIN(A1865-B1865,D1865)</f>
        <v/>
      </c>
      <c r="F1865" s="11">
        <f>ROUNDUP(E1865*Controls!$B$4,4)</f>
        <v/>
      </c>
      <c r="G1865" s="12">
        <f>F1865/E1865</f>
        <v/>
      </c>
      <c r="H1865" s="10">
        <f>(A1865-B1865-(D1865-1))/(A1865-(D1865-1))</f>
        <v/>
      </c>
      <c r="I1865" s="9">
        <f>A1865&amp;'x'&amp;B1865</f>
        <v/>
      </c>
      <c r="J1865" s="9">
        <f>IF(AND(G1865&gt;0.9,G1865&lt;1),"OK","CHECK")</f>
        <v/>
      </c>
    </row>
    <row r="1866">
      <c r="A1866" s="9" t="n">
        <v>49</v>
      </c>
      <c r="B1866" s="9" t="n">
        <v>21</v>
      </c>
      <c r="C1866" s="9" t="n">
        <v>28</v>
      </c>
      <c r="D1866" s="9" t="n">
        <v>7</v>
      </c>
      <c r="E1866" s="10">
        <f>COMBIN(A1866,D1866)/COMBIN(A1866-B1866,D1866)</f>
        <v/>
      </c>
      <c r="F1866" s="11">
        <f>ROUNDUP(E1866*Controls!$B$4,4)</f>
        <v/>
      </c>
      <c r="G1866" s="12">
        <f>F1866/E1866</f>
        <v/>
      </c>
      <c r="H1866" s="10">
        <f>(A1866-B1866-(D1866-1))/(A1866-(D1866-1))</f>
        <v/>
      </c>
      <c r="I1866" s="9">
        <f>A1866&amp;'x'&amp;B1866</f>
        <v/>
      </c>
      <c r="J1866" s="9">
        <f>IF(AND(G1866&gt;0.9,G1866&lt;1),"OK","CHECK")</f>
        <v/>
      </c>
    </row>
    <row r="1867">
      <c r="A1867" s="9" t="n">
        <v>49</v>
      </c>
      <c r="B1867" s="9" t="n">
        <v>21</v>
      </c>
      <c r="C1867" s="9" t="n">
        <v>28</v>
      </c>
      <c r="D1867" s="9" t="n">
        <v>8</v>
      </c>
      <c r="E1867" s="10">
        <f>COMBIN(A1867,D1867)/COMBIN(A1867-B1867,D1867)</f>
        <v/>
      </c>
      <c r="F1867" s="11">
        <f>ROUNDUP(E1867*Controls!$B$4,4)</f>
        <v/>
      </c>
      <c r="G1867" s="12">
        <f>F1867/E1867</f>
        <v/>
      </c>
      <c r="H1867" s="10">
        <f>(A1867-B1867-(D1867-1))/(A1867-(D1867-1))</f>
        <v/>
      </c>
      <c r="I1867" s="9">
        <f>A1867&amp;'x'&amp;B1867</f>
        <v/>
      </c>
      <c r="J1867" s="9">
        <f>IF(AND(G1867&gt;0.9,G1867&lt;1),"OK","CHECK")</f>
        <v/>
      </c>
    </row>
    <row r="1868">
      <c r="A1868" s="9" t="n">
        <v>49</v>
      </c>
      <c r="B1868" s="9" t="n">
        <v>21</v>
      </c>
      <c r="C1868" s="9" t="n">
        <v>28</v>
      </c>
      <c r="D1868" s="9" t="n">
        <v>9</v>
      </c>
      <c r="E1868" s="10">
        <f>COMBIN(A1868,D1868)/COMBIN(A1868-B1868,D1868)</f>
        <v/>
      </c>
      <c r="F1868" s="11">
        <f>ROUNDUP(E1868*Controls!$B$4,4)</f>
        <v/>
      </c>
      <c r="G1868" s="12">
        <f>F1868/E1868</f>
        <v/>
      </c>
      <c r="H1868" s="10">
        <f>(A1868-B1868-(D1868-1))/(A1868-(D1868-1))</f>
        <v/>
      </c>
      <c r="I1868" s="9">
        <f>A1868&amp;'x'&amp;B1868</f>
        <v/>
      </c>
      <c r="J1868" s="9">
        <f>IF(AND(G1868&gt;0.9,G1868&lt;1),"OK","CHECK")</f>
        <v/>
      </c>
    </row>
    <row r="1869">
      <c r="A1869" s="9" t="n">
        <v>49</v>
      </c>
      <c r="B1869" s="9" t="n">
        <v>21</v>
      </c>
      <c r="C1869" s="9" t="n">
        <v>28</v>
      </c>
      <c r="D1869" s="9" t="n">
        <v>10</v>
      </c>
      <c r="E1869" s="10">
        <f>COMBIN(A1869,D1869)/COMBIN(A1869-B1869,D1869)</f>
        <v/>
      </c>
      <c r="F1869" s="11">
        <f>ROUNDUP(E1869*Controls!$B$4,4)</f>
        <v/>
      </c>
      <c r="G1869" s="12">
        <f>F1869/E1869</f>
        <v/>
      </c>
      <c r="H1869" s="10">
        <f>(A1869-B1869-(D1869-1))/(A1869-(D1869-1))</f>
        <v/>
      </c>
      <c r="I1869" s="9">
        <f>A1869&amp;'x'&amp;B1869</f>
        <v/>
      </c>
      <c r="J1869" s="9">
        <f>IF(AND(G1869&gt;0.9,G1869&lt;1),"OK","CHECK")</f>
        <v/>
      </c>
    </row>
    <row r="1870">
      <c r="A1870" s="9" t="n">
        <v>49</v>
      </c>
      <c r="B1870" s="9" t="n">
        <v>21</v>
      </c>
      <c r="C1870" s="9" t="n">
        <v>28</v>
      </c>
      <c r="D1870" s="9" t="n">
        <v>11</v>
      </c>
      <c r="E1870" s="10">
        <f>COMBIN(A1870,D1870)/COMBIN(A1870-B1870,D1870)</f>
        <v/>
      </c>
      <c r="F1870" s="11">
        <f>ROUNDUP(E1870*Controls!$B$4,4)</f>
        <v/>
      </c>
      <c r="G1870" s="12">
        <f>F1870/E1870</f>
        <v/>
      </c>
      <c r="H1870" s="10">
        <f>(A1870-B1870-(D1870-1))/(A1870-(D1870-1))</f>
        <v/>
      </c>
      <c r="I1870" s="9">
        <f>A1870&amp;'x'&amp;B1870</f>
        <v/>
      </c>
      <c r="J1870" s="9">
        <f>IF(AND(G1870&gt;0.9,G1870&lt;1),"OK","CHECK")</f>
        <v/>
      </c>
    </row>
    <row r="1871">
      <c r="A1871" s="9" t="n">
        <v>49</v>
      </c>
      <c r="B1871" s="9" t="n">
        <v>21</v>
      </c>
      <c r="C1871" s="9" t="n">
        <v>28</v>
      </c>
      <c r="D1871" s="9" t="n">
        <v>12</v>
      </c>
      <c r="E1871" s="10">
        <f>COMBIN(A1871,D1871)/COMBIN(A1871-B1871,D1871)</f>
        <v/>
      </c>
      <c r="F1871" s="11">
        <f>ROUNDUP(E1871*Controls!$B$4,4)</f>
        <v/>
      </c>
      <c r="G1871" s="12">
        <f>F1871/E1871</f>
        <v/>
      </c>
      <c r="H1871" s="10">
        <f>(A1871-B1871-(D1871-1))/(A1871-(D1871-1))</f>
        <v/>
      </c>
      <c r="I1871" s="9">
        <f>A1871&amp;'x'&amp;B1871</f>
        <v/>
      </c>
      <c r="J1871" s="9">
        <f>IF(AND(G1871&gt;0.9,G1871&lt;1),"OK","CHECK")</f>
        <v/>
      </c>
    </row>
    <row r="1872">
      <c r="A1872" s="9" t="n">
        <v>49</v>
      </c>
      <c r="B1872" s="9" t="n">
        <v>21</v>
      </c>
      <c r="C1872" s="9" t="n">
        <v>28</v>
      </c>
      <c r="D1872" s="9" t="n">
        <v>13</v>
      </c>
      <c r="E1872" s="10">
        <f>COMBIN(A1872,D1872)/COMBIN(A1872-B1872,D1872)</f>
        <v/>
      </c>
      <c r="F1872" s="11">
        <f>ROUNDUP(E1872*Controls!$B$4,4)</f>
        <v/>
      </c>
      <c r="G1872" s="12">
        <f>F1872/E1872</f>
        <v/>
      </c>
      <c r="H1872" s="10">
        <f>(A1872-B1872-(D1872-1))/(A1872-(D1872-1))</f>
        <v/>
      </c>
      <c r="I1872" s="9">
        <f>A1872&amp;'x'&amp;B1872</f>
        <v/>
      </c>
      <c r="J1872" s="9">
        <f>IF(AND(G1872&gt;0.9,G1872&lt;1),"OK","CHECK")</f>
        <v/>
      </c>
    </row>
    <row r="1873">
      <c r="A1873" s="9" t="n">
        <v>49</v>
      </c>
      <c r="B1873" s="9" t="n">
        <v>21</v>
      </c>
      <c r="C1873" s="9" t="n">
        <v>28</v>
      </c>
      <c r="D1873" s="9" t="n">
        <v>14</v>
      </c>
      <c r="E1873" s="10">
        <f>COMBIN(A1873,D1873)/COMBIN(A1873-B1873,D1873)</f>
        <v/>
      </c>
      <c r="F1873" s="11">
        <f>ROUNDUP(E1873*Controls!$B$4,4)</f>
        <v/>
      </c>
      <c r="G1873" s="12">
        <f>F1873/E1873</f>
        <v/>
      </c>
      <c r="H1873" s="10">
        <f>(A1873-B1873-(D1873-1))/(A1873-(D1873-1))</f>
        <v/>
      </c>
      <c r="I1873" s="9">
        <f>A1873&amp;'x'&amp;B1873</f>
        <v/>
      </c>
      <c r="J1873" s="9">
        <f>IF(AND(G1873&gt;0.9,G1873&lt;1),"OK","CHECK")</f>
        <v/>
      </c>
    </row>
    <row r="1874">
      <c r="A1874" s="9" t="n">
        <v>49</v>
      </c>
      <c r="B1874" s="9" t="n">
        <v>21</v>
      </c>
      <c r="C1874" s="9" t="n">
        <v>28</v>
      </c>
      <c r="D1874" s="9" t="n">
        <v>15</v>
      </c>
      <c r="E1874" s="10">
        <f>COMBIN(A1874,D1874)/COMBIN(A1874-B1874,D1874)</f>
        <v/>
      </c>
      <c r="F1874" s="11">
        <f>ROUNDUP(E1874*Controls!$B$4,4)</f>
        <v/>
      </c>
      <c r="G1874" s="12">
        <f>F1874/E1874</f>
        <v/>
      </c>
      <c r="H1874" s="10">
        <f>(A1874-B1874-(D1874-1))/(A1874-(D1874-1))</f>
        <v/>
      </c>
      <c r="I1874" s="9">
        <f>A1874&amp;'x'&amp;B1874</f>
        <v/>
      </c>
      <c r="J1874" s="9">
        <f>IF(AND(G1874&gt;0.9,G1874&lt;1),"OK","CHECK")</f>
        <v/>
      </c>
    </row>
    <row r="1875">
      <c r="A1875" s="9" t="n">
        <v>49</v>
      </c>
      <c r="B1875" s="9" t="n">
        <v>21</v>
      </c>
      <c r="C1875" s="9" t="n">
        <v>28</v>
      </c>
      <c r="D1875" s="9" t="n">
        <v>16</v>
      </c>
      <c r="E1875" s="10">
        <f>COMBIN(A1875,D1875)/COMBIN(A1875-B1875,D1875)</f>
        <v/>
      </c>
      <c r="F1875" s="11">
        <f>ROUNDUP(E1875*Controls!$B$4,4)</f>
        <v/>
      </c>
      <c r="G1875" s="12">
        <f>F1875/E1875</f>
        <v/>
      </c>
      <c r="H1875" s="10">
        <f>(A1875-B1875-(D1875-1))/(A1875-(D1875-1))</f>
        <v/>
      </c>
      <c r="I1875" s="9">
        <f>A1875&amp;'x'&amp;B1875</f>
        <v/>
      </c>
      <c r="J1875" s="9">
        <f>IF(AND(G1875&gt;0.9,G1875&lt;1),"OK","CHECK")</f>
        <v/>
      </c>
    </row>
    <row r="1876">
      <c r="A1876" s="9" t="n">
        <v>49</v>
      </c>
      <c r="B1876" s="9" t="n">
        <v>21</v>
      </c>
      <c r="C1876" s="9" t="n">
        <v>28</v>
      </c>
      <c r="D1876" s="9" t="n">
        <v>17</v>
      </c>
      <c r="E1876" s="10">
        <f>COMBIN(A1876,D1876)/COMBIN(A1876-B1876,D1876)</f>
        <v/>
      </c>
      <c r="F1876" s="11">
        <f>ROUNDUP(E1876*Controls!$B$4,4)</f>
        <v/>
      </c>
      <c r="G1876" s="12">
        <f>F1876/E1876</f>
        <v/>
      </c>
      <c r="H1876" s="10">
        <f>(A1876-B1876-(D1876-1))/(A1876-(D1876-1))</f>
        <v/>
      </c>
      <c r="I1876" s="9">
        <f>A1876&amp;'x'&amp;B1876</f>
        <v/>
      </c>
      <c r="J1876" s="9">
        <f>IF(AND(G1876&gt;0.9,G1876&lt;1),"OK","CHECK")</f>
        <v/>
      </c>
    </row>
    <row r="1877">
      <c r="A1877" s="9" t="n">
        <v>49</v>
      </c>
      <c r="B1877" s="9" t="n">
        <v>21</v>
      </c>
      <c r="C1877" s="9" t="n">
        <v>28</v>
      </c>
      <c r="D1877" s="9" t="n">
        <v>18</v>
      </c>
      <c r="E1877" s="10">
        <f>COMBIN(A1877,D1877)/COMBIN(A1877-B1877,D1877)</f>
        <v/>
      </c>
      <c r="F1877" s="11">
        <f>ROUNDUP(E1877*Controls!$B$4,4)</f>
        <v/>
      </c>
      <c r="G1877" s="12">
        <f>F1877/E1877</f>
        <v/>
      </c>
      <c r="H1877" s="10">
        <f>(A1877-B1877-(D1877-1))/(A1877-(D1877-1))</f>
        <v/>
      </c>
      <c r="I1877" s="9">
        <f>A1877&amp;'x'&amp;B1877</f>
        <v/>
      </c>
      <c r="J1877" s="9">
        <f>IF(AND(G1877&gt;0.9,G1877&lt;1),"OK","CHECK")</f>
        <v/>
      </c>
    </row>
    <row r="1878">
      <c r="A1878" s="9" t="n">
        <v>49</v>
      </c>
      <c r="B1878" s="9" t="n">
        <v>21</v>
      </c>
      <c r="C1878" s="9" t="n">
        <v>28</v>
      </c>
      <c r="D1878" s="9" t="n">
        <v>19</v>
      </c>
      <c r="E1878" s="10">
        <f>COMBIN(A1878,D1878)/COMBIN(A1878-B1878,D1878)</f>
        <v/>
      </c>
      <c r="F1878" s="11">
        <f>ROUNDUP(E1878*Controls!$B$4,4)</f>
        <v/>
      </c>
      <c r="G1878" s="12">
        <f>F1878/E1878</f>
        <v/>
      </c>
      <c r="H1878" s="10">
        <f>(A1878-B1878-(D1878-1))/(A1878-(D1878-1))</f>
        <v/>
      </c>
      <c r="I1878" s="9">
        <f>A1878&amp;'x'&amp;B1878</f>
        <v/>
      </c>
      <c r="J1878" s="9">
        <f>IF(AND(G1878&gt;0.9,G1878&lt;1),"OK","CHECK")</f>
        <v/>
      </c>
    </row>
    <row r="1879">
      <c r="A1879" s="9" t="n">
        <v>49</v>
      </c>
      <c r="B1879" s="9" t="n">
        <v>21</v>
      </c>
      <c r="C1879" s="9" t="n">
        <v>28</v>
      </c>
      <c r="D1879" s="9" t="n">
        <v>20</v>
      </c>
      <c r="E1879" s="10">
        <f>COMBIN(A1879,D1879)/COMBIN(A1879-B1879,D1879)</f>
        <v/>
      </c>
      <c r="F1879" s="11">
        <f>ROUNDUP(E1879*Controls!$B$4,4)</f>
        <v/>
      </c>
      <c r="G1879" s="12">
        <f>F1879/E1879</f>
        <v/>
      </c>
      <c r="H1879" s="10">
        <f>(A1879-B1879-(D1879-1))/(A1879-(D1879-1))</f>
        <v/>
      </c>
      <c r="I1879" s="9">
        <f>A1879&amp;'x'&amp;B1879</f>
        <v/>
      </c>
      <c r="J1879" s="9">
        <f>IF(AND(G1879&gt;0.9,G1879&lt;1),"OK","CHECK")</f>
        <v/>
      </c>
    </row>
    <row r="1880">
      <c r="A1880" s="9" t="n">
        <v>49</v>
      </c>
      <c r="B1880" s="9" t="n">
        <v>21</v>
      </c>
      <c r="C1880" s="9" t="n">
        <v>28</v>
      </c>
      <c r="D1880" s="9" t="n">
        <v>21</v>
      </c>
      <c r="E1880" s="10">
        <f>COMBIN(A1880,D1880)/COMBIN(A1880-B1880,D1880)</f>
        <v/>
      </c>
      <c r="F1880" s="11">
        <f>ROUNDUP(E1880*Controls!$B$4,4)</f>
        <v/>
      </c>
      <c r="G1880" s="12">
        <f>F1880/E1880</f>
        <v/>
      </c>
      <c r="H1880" s="10">
        <f>(A1880-B1880-(D1880-1))/(A1880-(D1880-1))</f>
        <v/>
      </c>
      <c r="I1880" s="9">
        <f>A1880&amp;'x'&amp;B1880</f>
        <v/>
      </c>
      <c r="J1880" s="9">
        <f>IF(AND(G1880&gt;0.9,G1880&lt;1),"OK","CHECK")</f>
        <v/>
      </c>
    </row>
    <row r="1881">
      <c r="A1881" s="9" t="n">
        <v>49</v>
      </c>
      <c r="B1881" s="9" t="n">
        <v>21</v>
      </c>
      <c r="C1881" s="9" t="n">
        <v>28</v>
      </c>
      <c r="D1881" s="9" t="n">
        <v>22</v>
      </c>
      <c r="E1881" s="10">
        <f>COMBIN(A1881,D1881)/COMBIN(A1881-B1881,D1881)</f>
        <v/>
      </c>
      <c r="F1881" s="11">
        <f>ROUNDUP(E1881*Controls!$B$4,4)</f>
        <v/>
      </c>
      <c r="G1881" s="12">
        <f>F1881/E1881</f>
        <v/>
      </c>
      <c r="H1881" s="10">
        <f>(A1881-B1881-(D1881-1))/(A1881-(D1881-1))</f>
        <v/>
      </c>
      <c r="I1881" s="9">
        <f>A1881&amp;'x'&amp;B1881</f>
        <v/>
      </c>
      <c r="J1881" s="9">
        <f>IF(AND(G1881&gt;0.9,G1881&lt;1),"OK","CHECK")</f>
        <v/>
      </c>
    </row>
    <row r="1882">
      <c r="A1882" s="9" t="n">
        <v>49</v>
      </c>
      <c r="B1882" s="9" t="n">
        <v>21</v>
      </c>
      <c r="C1882" s="9" t="n">
        <v>28</v>
      </c>
      <c r="D1882" s="9" t="n">
        <v>23</v>
      </c>
      <c r="E1882" s="10">
        <f>COMBIN(A1882,D1882)/COMBIN(A1882-B1882,D1882)</f>
        <v/>
      </c>
      <c r="F1882" s="11">
        <f>ROUNDUP(E1882*Controls!$B$4,4)</f>
        <v/>
      </c>
      <c r="G1882" s="12">
        <f>F1882/E1882</f>
        <v/>
      </c>
      <c r="H1882" s="10">
        <f>(A1882-B1882-(D1882-1))/(A1882-(D1882-1))</f>
        <v/>
      </c>
      <c r="I1882" s="9">
        <f>A1882&amp;'x'&amp;B1882</f>
        <v/>
      </c>
      <c r="J1882" s="9">
        <f>IF(AND(G1882&gt;0.9,G1882&lt;1),"OK","CHECK")</f>
        <v/>
      </c>
    </row>
    <row r="1883">
      <c r="A1883" s="9" t="n">
        <v>49</v>
      </c>
      <c r="B1883" s="9" t="n">
        <v>21</v>
      </c>
      <c r="C1883" s="9" t="n">
        <v>28</v>
      </c>
      <c r="D1883" s="9" t="n">
        <v>24</v>
      </c>
      <c r="E1883" s="10">
        <f>COMBIN(A1883,D1883)/COMBIN(A1883-B1883,D1883)</f>
        <v/>
      </c>
      <c r="F1883" s="11">
        <f>ROUNDUP(E1883*Controls!$B$4,4)</f>
        <v/>
      </c>
      <c r="G1883" s="12">
        <f>F1883/E1883</f>
        <v/>
      </c>
      <c r="H1883" s="10">
        <f>(A1883-B1883-(D1883-1))/(A1883-(D1883-1))</f>
        <v/>
      </c>
      <c r="I1883" s="9">
        <f>A1883&amp;'x'&amp;B1883</f>
        <v/>
      </c>
      <c r="J1883" s="9">
        <f>IF(AND(G1883&gt;0.9,G1883&lt;1),"OK","CHECK")</f>
        <v/>
      </c>
    </row>
    <row r="1884">
      <c r="A1884" s="9" t="n">
        <v>49</v>
      </c>
      <c r="B1884" s="9" t="n">
        <v>21</v>
      </c>
      <c r="C1884" s="9" t="n">
        <v>28</v>
      </c>
      <c r="D1884" s="9" t="n">
        <v>25</v>
      </c>
      <c r="E1884" s="10">
        <f>COMBIN(A1884,D1884)/COMBIN(A1884-B1884,D1884)</f>
        <v/>
      </c>
      <c r="F1884" s="11">
        <f>ROUNDUP(E1884*Controls!$B$4,4)</f>
        <v/>
      </c>
      <c r="G1884" s="12">
        <f>F1884/E1884</f>
        <v/>
      </c>
      <c r="H1884" s="10">
        <f>(A1884-B1884-(D1884-1))/(A1884-(D1884-1))</f>
        <v/>
      </c>
      <c r="I1884" s="9">
        <f>A1884&amp;'x'&amp;B1884</f>
        <v/>
      </c>
      <c r="J1884" s="9">
        <f>IF(AND(G1884&gt;0.9,G1884&lt;1),"OK","CHECK")</f>
        <v/>
      </c>
    </row>
    <row r="1885">
      <c r="A1885" s="9" t="n">
        <v>49</v>
      </c>
      <c r="B1885" s="9" t="n">
        <v>21</v>
      </c>
      <c r="C1885" s="9" t="n">
        <v>28</v>
      </c>
      <c r="D1885" s="9" t="n">
        <v>26</v>
      </c>
      <c r="E1885" s="10">
        <f>COMBIN(A1885,D1885)/COMBIN(A1885-B1885,D1885)</f>
        <v/>
      </c>
      <c r="F1885" s="11">
        <f>ROUNDUP(E1885*Controls!$B$4,4)</f>
        <v/>
      </c>
      <c r="G1885" s="12">
        <f>F1885/E1885</f>
        <v/>
      </c>
      <c r="H1885" s="10">
        <f>(A1885-B1885-(D1885-1))/(A1885-(D1885-1))</f>
        <v/>
      </c>
      <c r="I1885" s="9">
        <f>A1885&amp;'x'&amp;B1885</f>
        <v/>
      </c>
      <c r="J1885" s="9">
        <f>IF(AND(G1885&gt;0.9,G1885&lt;1),"OK","CHECK")</f>
        <v/>
      </c>
    </row>
    <row r="1886">
      <c r="A1886" s="9" t="n">
        <v>49</v>
      </c>
      <c r="B1886" s="9" t="n">
        <v>21</v>
      </c>
      <c r="C1886" s="9" t="n">
        <v>28</v>
      </c>
      <c r="D1886" s="9" t="n">
        <v>27</v>
      </c>
      <c r="E1886" s="10">
        <f>COMBIN(A1886,D1886)/COMBIN(A1886-B1886,D1886)</f>
        <v/>
      </c>
      <c r="F1886" s="11">
        <f>ROUNDUP(E1886*Controls!$B$4,4)</f>
        <v/>
      </c>
      <c r="G1886" s="12">
        <f>F1886/E1886</f>
        <v/>
      </c>
      <c r="H1886" s="10">
        <f>(A1886-B1886-(D1886-1))/(A1886-(D1886-1))</f>
        <v/>
      </c>
      <c r="I1886" s="9">
        <f>A1886&amp;'x'&amp;B1886</f>
        <v/>
      </c>
      <c r="J1886" s="9">
        <f>IF(AND(G1886&gt;0.9,G1886&lt;1),"OK","CHECK")</f>
        <v/>
      </c>
    </row>
    <row r="1887">
      <c r="A1887" s="9" t="n">
        <v>49</v>
      </c>
      <c r="B1887" s="9" t="n">
        <v>21</v>
      </c>
      <c r="C1887" s="9" t="n">
        <v>28</v>
      </c>
      <c r="D1887" s="9" t="n">
        <v>28</v>
      </c>
      <c r="E1887" s="10">
        <f>COMBIN(A1887,D1887)/COMBIN(A1887-B1887,D1887)</f>
        <v/>
      </c>
      <c r="F1887" s="11">
        <f>ROUNDUP(E1887*Controls!$B$4,4)</f>
        <v/>
      </c>
      <c r="G1887" s="12">
        <f>F1887/E1887</f>
        <v/>
      </c>
      <c r="H1887" s="10">
        <f>(A1887-B1887-(D1887-1))/(A1887-(D1887-1))</f>
        <v/>
      </c>
      <c r="I1887" s="9">
        <f>A1887&amp;'x'&amp;B1887</f>
        <v/>
      </c>
      <c r="J1887" s="9">
        <f>IF(AND(G1887&gt;0.9,G1887&lt;1),"OK","CHECK")</f>
        <v/>
      </c>
    </row>
    <row r="1888">
      <c r="A1888" s="9" t="n">
        <v>49</v>
      </c>
      <c r="B1888" s="9" t="n">
        <v>22</v>
      </c>
      <c r="C1888" s="9" t="n">
        <v>27</v>
      </c>
      <c r="D1888" s="9" t="n">
        <v>1</v>
      </c>
      <c r="E1888" s="10">
        <f>COMBIN(A1888,D1888)/COMBIN(A1888-B1888,D1888)</f>
        <v/>
      </c>
      <c r="F1888" s="11">
        <f>ROUNDUP(E1888*Controls!$B$4,4)</f>
        <v/>
      </c>
      <c r="G1888" s="12">
        <f>F1888/E1888</f>
        <v/>
      </c>
      <c r="H1888" s="10">
        <f>(A1888-B1888-(D1888-1))/(A1888-(D1888-1))</f>
        <v/>
      </c>
      <c r="I1888" s="9">
        <f>A1888&amp;'x'&amp;B1888</f>
        <v/>
      </c>
      <c r="J1888" s="9">
        <f>IF(AND(G1888&gt;0.9,G1888&lt;1),"OK","CHECK")</f>
        <v/>
      </c>
    </row>
    <row r="1889">
      <c r="A1889" s="9" t="n">
        <v>49</v>
      </c>
      <c r="B1889" s="9" t="n">
        <v>22</v>
      </c>
      <c r="C1889" s="9" t="n">
        <v>27</v>
      </c>
      <c r="D1889" s="9" t="n">
        <v>2</v>
      </c>
      <c r="E1889" s="10">
        <f>COMBIN(A1889,D1889)/COMBIN(A1889-B1889,D1889)</f>
        <v/>
      </c>
      <c r="F1889" s="11">
        <f>ROUNDUP(E1889*Controls!$B$4,4)</f>
        <v/>
      </c>
      <c r="G1889" s="12">
        <f>F1889/E1889</f>
        <v/>
      </c>
      <c r="H1889" s="10">
        <f>(A1889-B1889-(D1889-1))/(A1889-(D1889-1))</f>
        <v/>
      </c>
      <c r="I1889" s="9">
        <f>A1889&amp;'x'&amp;B1889</f>
        <v/>
      </c>
      <c r="J1889" s="9">
        <f>IF(AND(G1889&gt;0.9,G1889&lt;1),"OK","CHECK")</f>
        <v/>
      </c>
    </row>
    <row r="1890">
      <c r="A1890" s="9" t="n">
        <v>49</v>
      </c>
      <c r="B1890" s="9" t="n">
        <v>22</v>
      </c>
      <c r="C1890" s="9" t="n">
        <v>27</v>
      </c>
      <c r="D1890" s="9" t="n">
        <v>3</v>
      </c>
      <c r="E1890" s="10">
        <f>COMBIN(A1890,D1890)/COMBIN(A1890-B1890,D1890)</f>
        <v/>
      </c>
      <c r="F1890" s="11">
        <f>ROUNDUP(E1890*Controls!$B$4,4)</f>
        <v/>
      </c>
      <c r="G1890" s="12">
        <f>F1890/E1890</f>
        <v/>
      </c>
      <c r="H1890" s="10">
        <f>(A1890-B1890-(D1890-1))/(A1890-(D1890-1))</f>
        <v/>
      </c>
      <c r="I1890" s="9">
        <f>A1890&amp;'x'&amp;B1890</f>
        <v/>
      </c>
      <c r="J1890" s="9">
        <f>IF(AND(G1890&gt;0.9,G1890&lt;1),"OK","CHECK")</f>
        <v/>
      </c>
    </row>
    <row r="1891">
      <c r="A1891" s="9" t="n">
        <v>49</v>
      </c>
      <c r="B1891" s="9" t="n">
        <v>22</v>
      </c>
      <c r="C1891" s="9" t="n">
        <v>27</v>
      </c>
      <c r="D1891" s="9" t="n">
        <v>4</v>
      </c>
      <c r="E1891" s="10">
        <f>COMBIN(A1891,D1891)/COMBIN(A1891-B1891,D1891)</f>
        <v/>
      </c>
      <c r="F1891" s="11">
        <f>ROUNDUP(E1891*Controls!$B$4,4)</f>
        <v/>
      </c>
      <c r="G1891" s="12">
        <f>F1891/E1891</f>
        <v/>
      </c>
      <c r="H1891" s="10">
        <f>(A1891-B1891-(D1891-1))/(A1891-(D1891-1))</f>
        <v/>
      </c>
      <c r="I1891" s="9">
        <f>A1891&amp;'x'&amp;B1891</f>
        <v/>
      </c>
      <c r="J1891" s="9">
        <f>IF(AND(G1891&gt;0.9,G1891&lt;1),"OK","CHECK")</f>
        <v/>
      </c>
    </row>
    <row r="1892">
      <c r="A1892" s="9" t="n">
        <v>49</v>
      </c>
      <c r="B1892" s="9" t="n">
        <v>22</v>
      </c>
      <c r="C1892" s="9" t="n">
        <v>27</v>
      </c>
      <c r="D1892" s="9" t="n">
        <v>5</v>
      </c>
      <c r="E1892" s="10">
        <f>COMBIN(A1892,D1892)/COMBIN(A1892-B1892,D1892)</f>
        <v/>
      </c>
      <c r="F1892" s="11">
        <f>ROUNDUP(E1892*Controls!$B$4,4)</f>
        <v/>
      </c>
      <c r="G1892" s="12">
        <f>F1892/E1892</f>
        <v/>
      </c>
      <c r="H1892" s="10">
        <f>(A1892-B1892-(D1892-1))/(A1892-(D1892-1))</f>
        <v/>
      </c>
      <c r="I1892" s="9">
        <f>A1892&amp;'x'&amp;B1892</f>
        <v/>
      </c>
      <c r="J1892" s="9">
        <f>IF(AND(G1892&gt;0.9,G1892&lt;1),"OK","CHECK")</f>
        <v/>
      </c>
    </row>
    <row r="1893">
      <c r="A1893" s="9" t="n">
        <v>49</v>
      </c>
      <c r="B1893" s="9" t="n">
        <v>22</v>
      </c>
      <c r="C1893" s="9" t="n">
        <v>27</v>
      </c>
      <c r="D1893" s="9" t="n">
        <v>6</v>
      </c>
      <c r="E1893" s="10">
        <f>COMBIN(A1893,D1893)/COMBIN(A1893-B1893,D1893)</f>
        <v/>
      </c>
      <c r="F1893" s="11">
        <f>ROUNDUP(E1893*Controls!$B$4,4)</f>
        <v/>
      </c>
      <c r="G1893" s="12">
        <f>F1893/E1893</f>
        <v/>
      </c>
      <c r="H1893" s="10">
        <f>(A1893-B1893-(D1893-1))/(A1893-(D1893-1))</f>
        <v/>
      </c>
      <c r="I1893" s="9">
        <f>A1893&amp;'x'&amp;B1893</f>
        <v/>
      </c>
      <c r="J1893" s="9">
        <f>IF(AND(G1893&gt;0.9,G1893&lt;1),"OK","CHECK")</f>
        <v/>
      </c>
    </row>
    <row r="1894">
      <c r="A1894" s="9" t="n">
        <v>49</v>
      </c>
      <c r="B1894" s="9" t="n">
        <v>22</v>
      </c>
      <c r="C1894" s="9" t="n">
        <v>27</v>
      </c>
      <c r="D1894" s="9" t="n">
        <v>7</v>
      </c>
      <c r="E1894" s="10">
        <f>COMBIN(A1894,D1894)/COMBIN(A1894-B1894,D1894)</f>
        <v/>
      </c>
      <c r="F1894" s="11">
        <f>ROUNDUP(E1894*Controls!$B$4,4)</f>
        <v/>
      </c>
      <c r="G1894" s="12">
        <f>F1894/E1894</f>
        <v/>
      </c>
      <c r="H1894" s="10">
        <f>(A1894-B1894-(D1894-1))/(A1894-(D1894-1))</f>
        <v/>
      </c>
      <c r="I1894" s="9">
        <f>A1894&amp;'x'&amp;B1894</f>
        <v/>
      </c>
      <c r="J1894" s="9">
        <f>IF(AND(G1894&gt;0.9,G1894&lt;1),"OK","CHECK")</f>
        <v/>
      </c>
    </row>
    <row r="1895">
      <c r="A1895" s="9" t="n">
        <v>49</v>
      </c>
      <c r="B1895" s="9" t="n">
        <v>22</v>
      </c>
      <c r="C1895" s="9" t="n">
        <v>27</v>
      </c>
      <c r="D1895" s="9" t="n">
        <v>8</v>
      </c>
      <c r="E1895" s="10">
        <f>COMBIN(A1895,D1895)/COMBIN(A1895-B1895,D1895)</f>
        <v/>
      </c>
      <c r="F1895" s="11">
        <f>ROUNDUP(E1895*Controls!$B$4,4)</f>
        <v/>
      </c>
      <c r="G1895" s="12">
        <f>F1895/E1895</f>
        <v/>
      </c>
      <c r="H1895" s="10">
        <f>(A1895-B1895-(D1895-1))/(A1895-(D1895-1))</f>
        <v/>
      </c>
      <c r="I1895" s="9">
        <f>A1895&amp;'x'&amp;B1895</f>
        <v/>
      </c>
      <c r="J1895" s="9">
        <f>IF(AND(G1895&gt;0.9,G1895&lt;1),"OK","CHECK")</f>
        <v/>
      </c>
    </row>
    <row r="1896">
      <c r="A1896" s="9" t="n">
        <v>49</v>
      </c>
      <c r="B1896" s="9" t="n">
        <v>22</v>
      </c>
      <c r="C1896" s="9" t="n">
        <v>27</v>
      </c>
      <c r="D1896" s="9" t="n">
        <v>9</v>
      </c>
      <c r="E1896" s="10">
        <f>COMBIN(A1896,D1896)/COMBIN(A1896-B1896,D1896)</f>
        <v/>
      </c>
      <c r="F1896" s="11">
        <f>ROUNDUP(E1896*Controls!$B$4,4)</f>
        <v/>
      </c>
      <c r="G1896" s="12">
        <f>F1896/E1896</f>
        <v/>
      </c>
      <c r="H1896" s="10">
        <f>(A1896-B1896-(D1896-1))/(A1896-(D1896-1))</f>
        <v/>
      </c>
      <c r="I1896" s="9">
        <f>A1896&amp;'x'&amp;B1896</f>
        <v/>
      </c>
      <c r="J1896" s="9">
        <f>IF(AND(G1896&gt;0.9,G1896&lt;1),"OK","CHECK")</f>
        <v/>
      </c>
    </row>
    <row r="1897">
      <c r="A1897" s="9" t="n">
        <v>49</v>
      </c>
      <c r="B1897" s="9" t="n">
        <v>22</v>
      </c>
      <c r="C1897" s="9" t="n">
        <v>27</v>
      </c>
      <c r="D1897" s="9" t="n">
        <v>10</v>
      </c>
      <c r="E1897" s="10">
        <f>COMBIN(A1897,D1897)/COMBIN(A1897-B1897,D1897)</f>
        <v/>
      </c>
      <c r="F1897" s="11">
        <f>ROUNDUP(E1897*Controls!$B$4,4)</f>
        <v/>
      </c>
      <c r="G1897" s="12">
        <f>F1897/E1897</f>
        <v/>
      </c>
      <c r="H1897" s="10">
        <f>(A1897-B1897-(D1897-1))/(A1897-(D1897-1))</f>
        <v/>
      </c>
      <c r="I1897" s="9">
        <f>A1897&amp;'x'&amp;B1897</f>
        <v/>
      </c>
      <c r="J1897" s="9">
        <f>IF(AND(G1897&gt;0.9,G1897&lt;1),"OK","CHECK")</f>
        <v/>
      </c>
    </row>
    <row r="1898">
      <c r="A1898" s="9" t="n">
        <v>49</v>
      </c>
      <c r="B1898" s="9" t="n">
        <v>22</v>
      </c>
      <c r="C1898" s="9" t="n">
        <v>27</v>
      </c>
      <c r="D1898" s="9" t="n">
        <v>11</v>
      </c>
      <c r="E1898" s="10">
        <f>COMBIN(A1898,D1898)/COMBIN(A1898-B1898,D1898)</f>
        <v/>
      </c>
      <c r="F1898" s="11">
        <f>ROUNDUP(E1898*Controls!$B$4,4)</f>
        <v/>
      </c>
      <c r="G1898" s="12">
        <f>F1898/E1898</f>
        <v/>
      </c>
      <c r="H1898" s="10">
        <f>(A1898-B1898-(D1898-1))/(A1898-(D1898-1))</f>
        <v/>
      </c>
      <c r="I1898" s="9">
        <f>A1898&amp;'x'&amp;B1898</f>
        <v/>
      </c>
      <c r="J1898" s="9">
        <f>IF(AND(G1898&gt;0.9,G1898&lt;1),"OK","CHECK")</f>
        <v/>
      </c>
    </row>
    <row r="1899">
      <c r="A1899" s="9" t="n">
        <v>49</v>
      </c>
      <c r="B1899" s="9" t="n">
        <v>22</v>
      </c>
      <c r="C1899" s="9" t="n">
        <v>27</v>
      </c>
      <c r="D1899" s="9" t="n">
        <v>12</v>
      </c>
      <c r="E1899" s="10">
        <f>COMBIN(A1899,D1899)/COMBIN(A1899-B1899,D1899)</f>
        <v/>
      </c>
      <c r="F1899" s="11">
        <f>ROUNDUP(E1899*Controls!$B$4,4)</f>
        <v/>
      </c>
      <c r="G1899" s="12">
        <f>F1899/E1899</f>
        <v/>
      </c>
      <c r="H1899" s="10">
        <f>(A1899-B1899-(D1899-1))/(A1899-(D1899-1))</f>
        <v/>
      </c>
      <c r="I1899" s="9">
        <f>A1899&amp;'x'&amp;B1899</f>
        <v/>
      </c>
      <c r="J1899" s="9">
        <f>IF(AND(G1899&gt;0.9,G1899&lt;1),"OK","CHECK")</f>
        <v/>
      </c>
    </row>
    <row r="1900">
      <c r="A1900" s="9" t="n">
        <v>49</v>
      </c>
      <c r="B1900" s="9" t="n">
        <v>22</v>
      </c>
      <c r="C1900" s="9" t="n">
        <v>27</v>
      </c>
      <c r="D1900" s="9" t="n">
        <v>13</v>
      </c>
      <c r="E1900" s="10">
        <f>COMBIN(A1900,D1900)/COMBIN(A1900-B1900,D1900)</f>
        <v/>
      </c>
      <c r="F1900" s="11">
        <f>ROUNDUP(E1900*Controls!$B$4,4)</f>
        <v/>
      </c>
      <c r="G1900" s="12">
        <f>F1900/E1900</f>
        <v/>
      </c>
      <c r="H1900" s="10">
        <f>(A1900-B1900-(D1900-1))/(A1900-(D1900-1))</f>
        <v/>
      </c>
      <c r="I1900" s="9">
        <f>A1900&amp;'x'&amp;B1900</f>
        <v/>
      </c>
      <c r="J1900" s="9">
        <f>IF(AND(G1900&gt;0.9,G1900&lt;1),"OK","CHECK")</f>
        <v/>
      </c>
    </row>
    <row r="1901">
      <c r="A1901" s="9" t="n">
        <v>49</v>
      </c>
      <c r="B1901" s="9" t="n">
        <v>22</v>
      </c>
      <c r="C1901" s="9" t="n">
        <v>27</v>
      </c>
      <c r="D1901" s="9" t="n">
        <v>14</v>
      </c>
      <c r="E1901" s="10">
        <f>COMBIN(A1901,D1901)/COMBIN(A1901-B1901,D1901)</f>
        <v/>
      </c>
      <c r="F1901" s="11">
        <f>ROUNDUP(E1901*Controls!$B$4,4)</f>
        <v/>
      </c>
      <c r="G1901" s="12">
        <f>F1901/E1901</f>
        <v/>
      </c>
      <c r="H1901" s="10">
        <f>(A1901-B1901-(D1901-1))/(A1901-(D1901-1))</f>
        <v/>
      </c>
      <c r="I1901" s="9">
        <f>A1901&amp;'x'&amp;B1901</f>
        <v/>
      </c>
      <c r="J1901" s="9">
        <f>IF(AND(G1901&gt;0.9,G1901&lt;1),"OK","CHECK")</f>
        <v/>
      </c>
    </row>
    <row r="1902">
      <c r="A1902" s="9" t="n">
        <v>49</v>
      </c>
      <c r="B1902" s="9" t="n">
        <v>22</v>
      </c>
      <c r="C1902" s="9" t="n">
        <v>27</v>
      </c>
      <c r="D1902" s="9" t="n">
        <v>15</v>
      </c>
      <c r="E1902" s="10">
        <f>COMBIN(A1902,D1902)/COMBIN(A1902-B1902,D1902)</f>
        <v/>
      </c>
      <c r="F1902" s="11">
        <f>ROUNDUP(E1902*Controls!$B$4,4)</f>
        <v/>
      </c>
      <c r="G1902" s="12">
        <f>F1902/E1902</f>
        <v/>
      </c>
      <c r="H1902" s="10">
        <f>(A1902-B1902-(D1902-1))/(A1902-(D1902-1))</f>
        <v/>
      </c>
      <c r="I1902" s="9">
        <f>A1902&amp;'x'&amp;B1902</f>
        <v/>
      </c>
      <c r="J1902" s="9">
        <f>IF(AND(G1902&gt;0.9,G1902&lt;1),"OK","CHECK")</f>
        <v/>
      </c>
    </row>
    <row r="1903">
      <c r="A1903" s="9" t="n">
        <v>49</v>
      </c>
      <c r="B1903" s="9" t="n">
        <v>22</v>
      </c>
      <c r="C1903" s="9" t="n">
        <v>27</v>
      </c>
      <c r="D1903" s="9" t="n">
        <v>16</v>
      </c>
      <c r="E1903" s="10">
        <f>COMBIN(A1903,D1903)/COMBIN(A1903-B1903,D1903)</f>
        <v/>
      </c>
      <c r="F1903" s="11">
        <f>ROUNDUP(E1903*Controls!$B$4,4)</f>
        <v/>
      </c>
      <c r="G1903" s="12">
        <f>F1903/E1903</f>
        <v/>
      </c>
      <c r="H1903" s="10">
        <f>(A1903-B1903-(D1903-1))/(A1903-(D1903-1))</f>
        <v/>
      </c>
      <c r="I1903" s="9">
        <f>A1903&amp;'x'&amp;B1903</f>
        <v/>
      </c>
      <c r="J1903" s="9">
        <f>IF(AND(G1903&gt;0.9,G1903&lt;1),"OK","CHECK")</f>
        <v/>
      </c>
    </row>
    <row r="1904">
      <c r="A1904" s="9" t="n">
        <v>49</v>
      </c>
      <c r="B1904" s="9" t="n">
        <v>22</v>
      </c>
      <c r="C1904" s="9" t="n">
        <v>27</v>
      </c>
      <c r="D1904" s="9" t="n">
        <v>17</v>
      </c>
      <c r="E1904" s="10">
        <f>COMBIN(A1904,D1904)/COMBIN(A1904-B1904,D1904)</f>
        <v/>
      </c>
      <c r="F1904" s="11">
        <f>ROUNDUP(E1904*Controls!$B$4,4)</f>
        <v/>
      </c>
      <c r="G1904" s="12">
        <f>F1904/E1904</f>
        <v/>
      </c>
      <c r="H1904" s="10">
        <f>(A1904-B1904-(D1904-1))/(A1904-(D1904-1))</f>
        <v/>
      </c>
      <c r="I1904" s="9">
        <f>A1904&amp;'x'&amp;B1904</f>
        <v/>
      </c>
      <c r="J1904" s="9">
        <f>IF(AND(G1904&gt;0.9,G1904&lt;1),"OK","CHECK")</f>
        <v/>
      </c>
    </row>
    <row r="1905">
      <c r="A1905" s="9" t="n">
        <v>49</v>
      </c>
      <c r="B1905" s="9" t="n">
        <v>22</v>
      </c>
      <c r="C1905" s="9" t="n">
        <v>27</v>
      </c>
      <c r="D1905" s="9" t="n">
        <v>18</v>
      </c>
      <c r="E1905" s="10">
        <f>COMBIN(A1905,D1905)/COMBIN(A1905-B1905,D1905)</f>
        <v/>
      </c>
      <c r="F1905" s="11">
        <f>ROUNDUP(E1905*Controls!$B$4,4)</f>
        <v/>
      </c>
      <c r="G1905" s="12">
        <f>F1905/E1905</f>
        <v/>
      </c>
      <c r="H1905" s="10">
        <f>(A1905-B1905-(D1905-1))/(A1905-(D1905-1))</f>
        <v/>
      </c>
      <c r="I1905" s="9">
        <f>A1905&amp;'x'&amp;B1905</f>
        <v/>
      </c>
      <c r="J1905" s="9">
        <f>IF(AND(G1905&gt;0.9,G1905&lt;1),"OK","CHECK")</f>
        <v/>
      </c>
    </row>
    <row r="1906">
      <c r="A1906" s="9" t="n">
        <v>49</v>
      </c>
      <c r="B1906" s="9" t="n">
        <v>22</v>
      </c>
      <c r="C1906" s="9" t="n">
        <v>27</v>
      </c>
      <c r="D1906" s="9" t="n">
        <v>19</v>
      </c>
      <c r="E1906" s="10">
        <f>COMBIN(A1906,D1906)/COMBIN(A1906-B1906,D1906)</f>
        <v/>
      </c>
      <c r="F1906" s="11">
        <f>ROUNDUP(E1906*Controls!$B$4,4)</f>
        <v/>
      </c>
      <c r="G1906" s="12">
        <f>F1906/E1906</f>
        <v/>
      </c>
      <c r="H1906" s="10">
        <f>(A1906-B1906-(D1906-1))/(A1906-(D1906-1))</f>
        <v/>
      </c>
      <c r="I1906" s="9">
        <f>A1906&amp;'x'&amp;B1906</f>
        <v/>
      </c>
      <c r="J1906" s="9">
        <f>IF(AND(G1906&gt;0.9,G1906&lt;1),"OK","CHECK")</f>
        <v/>
      </c>
    </row>
    <row r="1907">
      <c r="A1907" s="9" t="n">
        <v>49</v>
      </c>
      <c r="B1907" s="9" t="n">
        <v>22</v>
      </c>
      <c r="C1907" s="9" t="n">
        <v>27</v>
      </c>
      <c r="D1907" s="9" t="n">
        <v>20</v>
      </c>
      <c r="E1907" s="10">
        <f>COMBIN(A1907,D1907)/COMBIN(A1907-B1907,D1907)</f>
        <v/>
      </c>
      <c r="F1907" s="11">
        <f>ROUNDUP(E1907*Controls!$B$4,4)</f>
        <v/>
      </c>
      <c r="G1907" s="12">
        <f>F1907/E1907</f>
        <v/>
      </c>
      <c r="H1907" s="10">
        <f>(A1907-B1907-(D1907-1))/(A1907-(D1907-1))</f>
        <v/>
      </c>
      <c r="I1907" s="9">
        <f>A1907&amp;'x'&amp;B1907</f>
        <v/>
      </c>
      <c r="J1907" s="9">
        <f>IF(AND(G1907&gt;0.9,G1907&lt;1),"OK","CHECK")</f>
        <v/>
      </c>
    </row>
    <row r="1908">
      <c r="A1908" s="9" t="n">
        <v>49</v>
      </c>
      <c r="B1908" s="9" t="n">
        <v>22</v>
      </c>
      <c r="C1908" s="9" t="n">
        <v>27</v>
      </c>
      <c r="D1908" s="9" t="n">
        <v>21</v>
      </c>
      <c r="E1908" s="10">
        <f>COMBIN(A1908,D1908)/COMBIN(A1908-B1908,D1908)</f>
        <v/>
      </c>
      <c r="F1908" s="11">
        <f>ROUNDUP(E1908*Controls!$B$4,4)</f>
        <v/>
      </c>
      <c r="G1908" s="12">
        <f>F1908/E1908</f>
        <v/>
      </c>
      <c r="H1908" s="10">
        <f>(A1908-B1908-(D1908-1))/(A1908-(D1908-1))</f>
        <v/>
      </c>
      <c r="I1908" s="9">
        <f>A1908&amp;'x'&amp;B1908</f>
        <v/>
      </c>
      <c r="J1908" s="9">
        <f>IF(AND(G1908&gt;0.9,G1908&lt;1),"OK","CHECK")</f>
        <v/>
      </c>
    </row>
    <row r="1909">
      <c r="A1909" s="9" t="n">
        <v>49</v>
      </c>
      <c r="B1909" s="9" t="n">
        <v>22</v>
      </c>
      <c r="C1909" s="9" t="n">
        <v>27</v>
      </c>
      <c r="D1909" s="9" t="n">
        <v>22</v>
      </c>
      <c r="E1909" s="10">
        <f>COMBIN(A1909,D1909)/COMBIN(A1909-B1909,D1909)</f>
        <v/>
      </c>
      <c r="F1909" s="11">
        <f>ROUNDUP(E1909*Controls!$B$4,4)</f>
        <v/>
      </c>
      <c r="G1909" s="12">
        <f>F1909/E1909</f>
        <v/>
      </c>
      <c r="H1909" s="10">
        <f>(A1909-B1909-(D1909-1))/(A1909-(D1909-1))</f>
        <v/>
      </c>
      <c r="I1909" s="9">
        <f>A1909&amp;'x'&amp;B1909</f>
        <v/>
      </c>
      <c r="J1909" s="9">
        <f>IF(AND(G1909&gt;0.9,G1909&lt;1),"OK","CHECK")</f>
        <v/>
      </c>
    </row>
    <row r="1910">
      <c r="A1910" s="9" t="n">
        <v>49</v>
      </c>
      <c r="B1910" s="9" t="n">
        <v>22</v>
      </c>
      <c r="C1910" s="9" t="n">
        <v>27</v>
      </c>
      <c r="D1910" s="9" t="n">
        <v>23</v>
      </c>
      <c r="E1910" s="10">
        <f>COMBIN(A1910,D1910)/COMBIN(A1910-B1910,D1910)</f>
        <v/>
      </c>
      <c r="F1910" s="11">
        <f>ROUNDUP(E1910*Controls!$B$4,4)</f>
        <v/>
      </c>
      <c r="G1910" s="12">
        <f>F1910/E1910</f>
        <v/>
      </c>
      <c r="H1910" s="10">
        <f>(A1910-B1910-(D1910-1))/(A1910-(D1910-1))</f>
        <v/>
      </c>
      <c r="I1910" s="9">
        <f>A1910&amp;'x'&amp;B1910</f>
        <v/>
      </c>
      <c r="J1910" s="9">
        <f>IF(AND(G1910&gt;0.9,G1910&lt;1),"OK","CHECK")</f>
        <v/>
      </c>
    </row>
    <row r="1911">
      <c r="A1911" s="9" t="n">
        <v>49</v>
      </c>
      <c r="B1911" s="9" t="n">
        <v>22</v>
      </c>
      <c r="C1911" s="9" t="n">
        <v>27</v>
      </c>
      <c r="D1911" s="9" t="n">
        <v>24</v>
      </c>
      <c r="E1911" s="10">
        <f>COMBIN(A1911,D1911)/COMBIN(A1911-B1911,D1911)</f>
        <v/>
      </c>
      <c r="F1911" s="11">
        <f>ROUNDUP(E1911*Controls!$B$4,4)</f>
        <v/>
      </c>
      <c r="G1911" s="12">
        <f>F1911/E1911</f>
        <v/>
      </c>
      <c r="H1911" s="10">
        <f>(A1911-B1911-(D1911-1))/(A1911-(D1911-1))</f>
        <v/>
      </c>
      <c r="I1911" s="9">
        <f>A1911&amp;'x'&amp;B1911</f>
        <v/>
      </c>
      <c r="J1911" s="9">
        <f>IF(AND(G1911&gt;0.9,G1911&lt;1),"OK","CHECK")</f>
        <v/>
      </c>
    </row>
    <row r="1912">
      <c r="A1912" s="9" t="n">
        <v>49</v>
      </c>
      <c r="B1912" s="9" t="n">
        <v>22</v>
      </c>
      <c r="C1912" s="9" t="n">
        <v>27</v>
      </c>
      <c r="D1912" s="9" t="n">
        <v>25</v>
      </c>
      <c r="E1912" s="10">
        <f>COMBIN(A1912,D1912)/COMBIN(A1912-B1912,D1912)</f>
        <v/>
      </c>
      <c r="F1912" s="11">
        <f>ROUNDUP(E1912*Controls!$B$4,4)</f>
        <v/>
      </c>
      <c r="G1912" s="12">
        <f>F1912/E1912</f>
        <v/>
      </c>
      <c r="H1912" s="10">
        <f>(A1912-B1912-(D1912-1))/(A1912-(D1912-1))</f>
        <v/>
      </c>
      <c r="I1912" s="9">
        <f>A1912&amp;'x'&amp;B1912</f>
        <v/>
      </c>
      <c r="J1912" s="9">
        <f>IF(AND(G1912&gt;0.9,G1912&lt;1),"OK","CHECK")</f>
        <v/>
      </c>
    </row>
    <row r="1913">
      <c r="A1913" s="9" t="n">
        <v>49</v>
      </c>
      <c r="B1913" s="9" t="n">
        <v>22</v>
      </c>
      <c r="C1913" s="9" t="n">
        <v>27</v>
      </c>
      <c r="D1913" s="9" t="n">
        <v>26</v>
      </c>
      <c r="E1913" s="10">
        <f>COMBIN(A1913,D1913)/COMBIN(A1913-B1913,D1913)</f>
        <v/>
      </c>
      <c r="F1913" s="11">
        <f>ROUNDUP(E1913*Controls!$B$4,4)</f>
        <v/>
      </c>
      <c r="G1913" s="12">
        <f>F1913/E1913</f>
        <v/>
      </c>
      <c r="H1913" s="10">
        <f>(A1913-B1913-(D1913-1))/(A1913-(D1913-1))</f>
        <v/>
      </c>
      <c r="I1913" s="9">
        <f>A1913&amp;'x'&amp;B1913</f>
        <v/>
      </c>
      <c r="J1913" s="9">
        <f>IF(AND(G1913&gt;0.9,G1913&lt;1),"OK","CHECK")</f>
        <v/>
      </c>
    </row>
    <row r="1914">
      <c r="A1914" s="9" t="n">
        <v>49</v>
      </c>
      <c r="B1914" s="9" t="n">
        <v>22</v>
      </c>
      <c r="C1914" s="9" t="n">
        <v>27</v>
      </c>
      <c r="D1914" s="9" t="n">
        <v>27</v>
      </c>
      <c r="E1914" s="10">
        <f>COMBIN(A1914,D1914)/COMBIN(A1914-B1914,D1914)</f>
        <v/>
      </c>
      <c r="F1914" s="11">
        <f>ROUNDUP(E1914*Controls!$B$4,4)</f>
        <v/>
      </c>
      <c r="G1914" s="12">
        <f>F1914/E1914</f>
        <v/>
      </c>
      <c r="H1914" s="10">
        <f>(A1914-B1914-(D1914-1))/(A1914-(D1914-1))</f>
        <v/>
      </c>
      <c r="I1914" s="9">
        <f>A1914&amp;'x'&amp;B1914</f>
        <v/>
      </c>
      <c r="J1914" s="9">
        <f>IF(AND(G1914&gt;0.9,G1914&lt;1),"OK","CHECK")</f>
        <v/>
      </c>
    </row>
    <row r="1915">
      <c r="A1915" s="9" t="n">
        <v>49</v>
      </c>
      <c r="B1915" s="9" t="n">
        <v>23</v>
      </c>
      <c r="C1915" s="9" t="n">
        <v>26</v>
      </c>
      <c r="D1915" s="9" t="n">
        <v>1</v>
      </c>
      <c r="E1915" s="10">
        <f>COMBIN(A1915,D1915)/COMBIN(A1915-B1915,D1915)</f>
        <v/>
      </c>
      <c r="F1915" s="11">
        <f>ROUNDUP(E1915*Controls!$B$4,4)</f>
        <v/>
      </c>
      <c r="G1915" s="12">
        <f>F1915/E1915</f>
        <v/>
      </c>
      <c r="H1915" s="10">
        <f>(A1915-B1915-(D1915-1))/(A1915-(D1915-1))</f>
        <v/>
      </c>
      <c r="I1915" s="9">
        <f>A1915&amp;'x'&amp;B1915</f>
        <v/>
      </c>
      <c r="J1915" s="9">
        <f>IF(AND(G1915&gt;0.9,G1915&lt;1),"OK","CHECK")</f>
        <v/>
      </c>
    </row>
    <row r="1916">
      <c r="A1916" s="9" t="n">
        <v>49</v>
      </c>
      <c r="B1916" s="9" t="n">
        <v>23</v>
      </c>
      <c r="C1916" s="9" t="n">
        <v>26</v>
      </c>
      <c r="D1916" s="9" t="n">
        <v>2</v>
      </c>
      <c r="E1916" s="10">
        <f>COMBIN(A1916,D1916)/COMBIN(A1916-B1916,D1916)</f>
        <v/>
      </c>
      <c r="F1916" s="11">
        <f>ROUNDUP(E1916*Controls!$B$4,4)</f>
        <v/>
      </c>
      <c r="G1916" s="12">
        <f>F1916/E1916</f>
        <v/>
      </c>
      <c r="H1916" s="10">
        <f>(A1916-B1916-(D1916-1))/(A1916-(D1916-1))</f>
        <v/>
      </c>
      <c r="I1916" s="9">
        <f>A1916&amp;'x'&amp;B1916</f>
        <v/>
      </c>
      <c r="J1916" s="9">
        <f>IF(AND(G1916&gt;0.9,G1916&lt;1),"OK","CHECK")</f>
        <v/>
      </c>
    </row>
    <row r="1917">
      <c r="A1917" s="9" t="n">
        <v>49</v>
      </c>
      <c r="B1917" s="9" t="n">
        <v>23</v>
      </c>
      <c r="C1917" s="9" t="n">
        <v>26</v>
      </c>
      <c r="D1917" s="9" t="n">
        <v>3</v>
      </c>
      <c r="E1917" s="10">
        <f>COMBIN(A1917,D1917)/COMBIN(A1917-B1917,D1917)</f>
        <v/>
      </c>
      <c r="F1917" s="11">
        <f>ROUNDUP(E1917*Controls!$B$4,4)</f>
        <v/>
      </c>
      <c r="G1917" s="12">
        <f>F1917/E1917</f>
        <v/>
      </c>
      <c r="H1917" s="10">
        <f>(A1917-B1917-(D1917-1))/(A1917-(D1917-1))</f>
        <v/>
      </c>
      <c r="I1917" s="9">
        <f>A1917&amp;'x'&amp;B1917</f>
        <v/>
      </c>
      <c r="J1917" s="9">
        <f>IF(AND(G1917&gt;0.9,G1917&lt;1),"OK","CHECK")</f>
        <v/>
      </c>
    </row>
    <row r="1918">
      <c r="A1918" s="9" t="n">
        <v>49</v>
      </c>
      <c r="B1918" s="9" t="n">
        <v>23</v>
      </c>
      <c r="C1918" s="9" t="n">
        <v>26</v>
      </c>
      <c r="D1918" s="9" t="n">
        <v>4</v>
      </c>
      <c r="E1918" s="10">
        <f>COMBIN(A1918,D1918)/COMBIN(A1918-B1918,D1918)</f>
        <v/>
      </c>
      <c r="F1918" s="11">
        <f>ROUNDUP(E1918*Controls!$B$4,4)</f>
        <v/>
      </c>
      <c r="G1918" s="12">
        <f>F1918/E1918</f>
        <v/>
      </c>
      <c r="H1918" s="10">
        <f>(A1918-B1918-(D1918-1))/(A1918-(D1918-1))</f>
        <v/>
      </c>
      <c r="I1918" s="9">
        <f>A1918&amp;'x'&amp;B1918</f>
        <v/>
      </c>
      <c r="J1918" s="9">
        <f>IF(AND(G1918&gt;0.9,G1918&lt;1),"OK","CHECK")</f>
        <v/>
      </c>
    </row>
    <row r="1919">
      <c r="A1919" s="9" t="n">
        <v>49</v>
      </c>
      <c r="B1919" s="9" t="n">
        <v>23</v>
      </c>
      <c r="C1919" s="9" t="n">
        <v>26</v>
      </c>
      <c r="D1919" s="9" t="n">
        <v>5</v>
      </c>
      <c r="E1919" s="10">
        <f>COMBIN(A1919,D1919)/COMBIN(A1919-B1919,D1919)</f>
        <v/>
      </c>
      <c r="F1919" s="11">
        <f>ROUNDUP(E1919*Controls!$B$4,4)</f>
        <v/>
      </c>
      <c r="G1919" s="12">
        <f>F1919/E1919</f>
        <v/>
      </c>
      <c r="H1919" s="10">
        <f>(A1919-B1919-(D1919-1))/(A1919-(D1919-1))</f>
        <v/>
      </c>
      <c r="I1919" s="9">
        <f>A1919&amp;'x'&amp;B1919</f>
        <v/>
      </c>
      <c r="J1919" s="9">
        <f>IF(AND(G1919&gt;0.9,G1919&lt;1),"OK","CHECK")</f>
        <v/>
      </c>
    </row>
    <row r="1920">
      <c r="A1920" s="9" t="n">
        <v>49</v>
      </c>
      <c r="B1920" s="9" t="n">
        <v>23</v>
      </c>
      <c r="C1920" s="9" t="n">
        <v>26</v>
      </c>
      <c r="D1920" s="9" t="n">
        <v>6</v>
      </c>
      <c r="E1920" s="10">
        <f>COMBIN(A1920,D1920)/COMBIN(A1920-B1920,D1920)</f>
        <v/>
      </c>
      <c r="F1920" s="11">
        <f>ROUNDUP(E1920*Controls!$B$4,4)</f>
        <v/>
      </c>
      <c r="G1920" s="12">
        <f>F1920/E1920</f>
        <v/>
      </c>
      <c r="H1920" s="10">
        <f>(A1920-B1920-(D1920-1))/(A1920-(D1920-1))</f>
        <v/>
      </c>
      <c r="I1920" s="9">
        <f>A1920&amp;'x'&amp;B1920</f>
        <v/>
      </c>
      <c r="J1920" s="9">
        <f>IF(AND(G1920&gt;0.9,G1920&lt;1),"OK","CHECK")</f>
        <v/>
      </c>
    </row>
    <row r="1921">
      <c r="A1921" s="9" t="n">
        <v>49</v>
      </c>
      <c r="B1921" s="9" t="n">
        <v>23</v>
      </c>
      <c r="C1921" s="9" t="n">
        <v>26</v>
      </c>
      <c r="D1921" s="9" t="n">
        <v>7</v>
      </c>
      <c r="E1921" s="10">
        <f>COMBIN(A1921,D1921)/COMBIN(A1921-B1921,D1921)</f>
        <v/>
      </c>
      <c r="F1921" s="11">
        <f>ROUNDUP(E1921*Controls!$B$4,4)</f>
        <v/>
      </c>
      <c r="G1921" s="12">
        <f>F1921/E1921</f>
        <v/>
      </c>
      <c r="H1921" s="10">
        <f>(A1921-B1921-(D1921-1))/(A1921-(D1921-1))</f>
        <v/>
      </c>
      <c r="I1921" s="9">
        <f>A1921&amp;'x'&amp;B1921</f>
        <v/>
      </c>
      <c r="J1921" s="9">
        <f>IF(AND(G1921&gt;0.9,G1921&lt;1),"OK","CHECK")</f>
        <v/>
      </c>
    </row>
    <row r="1922">
      <c r="A1922" s="9" t="n">
        <v>49</v>
      </c>
      <c r="B1922" s="9" t="n">
        <v>23</v>
      </c>
      <c r="C1922" s="9" t="n">
        <v>26</v>
      </c>
      <c r="D1922" s="9" t="n">
        <v>8</v>
      </c>
      <c r="E1922" s="10">
        <f>COMBIN(A1922,D1922)/COMBIN(A1922-B1922,D1922)</f>
        <v/>
      </c>
      <c r="F1922" s="11">
        <f>ROUNDUP(E1922*Controls!$B$4,4)</f>
        <v/>
      </c>
      <c r="G1922" s="12">
        <f>F1922/E1922</f>
        <v/>
      </c>
      <c r="H1922" s="10">
        <f>(A1922-B1922-(D1922-1))/(A1922-(D1922-1))</f>
        <v/>
      </c>
      <c r="I1922" s="9">
        <f>A1922&amp;'x'&amp;B1922</f>
        <v/>
      </c>
      <c r="J1922" s="9">
        <f>IF(AND(G1922&gt;0.9,G1922&lt;1),"OK","CHECK")</f>
        <v/>
      </c>
    </row>
    <row r="1923">
      <c r="A1923" s="9" t="n">
        <v>49</v>
      </c>
      <c r="B1923" s="9" t="n">
        <v>23</v>
      </c>
      <c r="C1923" s="9" t="n">
        <v>26</v>
      </c>
      <c r="D1923" s="9" t="n">
        <v>9</v>
      </c>
      <c r="E1923" s="10">
        <f>COMBIN(A1923,D1923)/COMBIN(A1923-B1923,D1923)</f>
        <v/>
      </c>
      <c r="F1923" s="11">
        <f>ROUNDUP(E1923*Controls!$B$4,4)</f>
        <v/>
      </c>
      <c r="G1923" s="12">
        <f>F1923/E1923</f>
        <v/>
      </c>
      <c r="H1923" s="10">
        <f>(A1923-B1923-(D1923-1))/(A1923-(D1923-1))</f>
        <v/>
      </c>
      <c r="I1923" s="9">
        <f>A1923&amp;'x'&amp;B1923</f>
        <v/>
      </c>
      <c r="J1923" s="9">
        <f>IF(AND(G1923&gt;0.9,G1923&lt;1),"OK","CHECK")</f>
        <v/>
      </c>
    </row>
    <row r="1924">
      <c r="A1924" s="9" t="n">
        <v>49</v>
      </c>
      <c r="B1924" s="9" t="n">
        <v>23</v>
      </c>
      <c r="C1924" s="9" t="n">
        <v>26</v>
      </c>
      <c r="D1924" s="9" t="n">
        <v>10</v>
      </c>
      <c r="E1924" s="10">
        <f>COMBIN(A1924,D1924)/COMBIN(A1924-B1924,D1924)</f>
        <v/>
      </c>
      <c r="F1924" s="11">
        <f>ROUNDUP(E1924*Controls!$B$4,4)</f>
        <v/>
      </c>
      <c r="G1924" s="12">
        <f>F1924/E1924</f>
        <v/>
      </c>
      <c r="H1924" s="10">
        <f>(A1924-B1924-(D1924-1))/(A1924-(D1924-1))</f>
        <v/>
      </c>
      <c r="I1924" s="9">
        <f>A1924&amp;'x'&amp;B1924</f>
        <v/>
      </c>
      <c r="J1924" s="9">
        <f>IF(AND(G1924&gt;0.9,G1924&lt;1),"OK","CHECK")</f>
        <v/>
      </c>
    </row>
    <row r="1925">
      <c r="A1925" s="9" t="n">
        <v>49</v>
      </c>
      <c r="B1925" s="9" t="n">
        <v>23</v>
      </c>
      <c r="C1925" s="9" t="n">
        <v>26</v>
      </c>
      <c r="D1925" s="9" t="n">
        <v>11</v>
      </c>
      <c r="E1925" s="10">
        <f>COMBIN(A1925,D1925)/COMBIN(A1925-B1925,D1925)</f>
        <v/>
      </c>
      <c r="F1925" s="11">
        <f>ROUNDUP(E1925*Controls!$B$4,4)</f>
        <v/>
      </c>
      <c r="G1925" s="12">
        <f>F1925/E1925</f>
        <v/>
      </c>
      <c r="H1925" s="10">
        <f>(A1925-B1925-(D1925-1))/(A1925-(D1925-1))</f>
        <v/>
      </c>
      <c r="I1925" s="9">
        <f>A1925&amp;'x'&amp;B1925</f>
        <v/>
      </c>
      <c r="J1925" s="9">
        <f>IF(AND(G1925&gt;0.9,G1925&lt;1),"OK","CHECK")</f>
        <v/>
      </c>
    </row>
    <row r="1926">
      <c r="A1926" s="9" t="n">
        <v>49</v>
      </c>
      <c r="B1926" s="9" t="n">
        <v>23</v>
      </c>
      <c r="C1926" s="9" t="n">
        <v>26</v>
      </c>
      <c r="D1926" s="9" t="n">
        <v>12</v>
      </c>
      <c r="E1926" s="10">
        <f>COMBIN(A1926,D1926)/COMBIN(A1926-B1926,D1926)</f>
        <v/>
      </c>
      <c r="F1926" s="11">
        <f>ROUNDUP(E1926*Controls!$B$4,4)</f>
        <v/>
      </c>
      <c r="G1926" s="12">
        <f>F1926/E1926</f>
        <v/>
      </c>
      <c r="H1926" s="10">
        <f>(A1926-B1926-(D1926-1))/(A1926-(D1926-1))</f>
        <v/>
      </c>
      <c r="I1926" s="9">
        <f>A1926&amp;'x'&amp;B1926</f>
        <v/>
      </c>
      <c r="J1926" s="9">
        <f>IF(AND(G1926&gt;0.9,G1926&lt;1),"OK","CHECK")</f>
        <v/>
      </c>
    </row>
    <row r="1927">
      <c r="A1927" s="9" t="n">
        <v>49</v>
      </c>
      <c r="B1927" s="9" t="n">
        <v>23</v>
      </c>
      <c r="C1927" s="9" t="n">
        <v>26</v>
      </c>
      <c r="D1927" s="9" t="n">
        <v>13</v>
      </c>
      <c r="E1927" s="10">
        <f>COMBIN(A1927,D1927)/COMBIN(A1927-B1927,D1927)</f>
        <v/>
      </c>
      <c r="F1927" s="11">
        <f>ROUNDUP(E1927*Controls!$B$4,4)</f>
        <v/>
      </c>
      <c r="G1927" s="12">
        <f>F1927/E1927</f>
        <v/>
      </c>
      <c r="H1927" s="10">
        <f>(A1927-B1927-(D1927-1))/(A1927-(D1927-1))</f>
        <v/>
      </c>
      <c r="I1927" s="9">
        <f>A1927&amp;'x'&amp;B1927</f>
        <v/>
      </c>
      <c r="J1927" s="9">
        <f>IF(AND(G1927&gt;0.9,G1927&lt;1),"OK","CHECK")</f>
        <v/>
      </c>
    </row>
    <row r="1928">
      <c r="A1928" s="9" t="n">
        <v>49</v>
      </c>
      <c r="B1928" s="9" t="n">
        <v>23</v>
      </c>
      <c r="C1928" s="9" t="n">
        <v>26</v>
      </c>
      <c r="D1928" s="9" t="n">
        <v>14</v>
      </c>
      <c r="E1928" s="10">
        <f>COMBIN(A1928,D1928)/COMBIN(A1928-B1928,D1928)</f>
        <v/>
      </c>
      <c r="F1928" s="11">
        <f>ROUNDUP(E1928*Controls!$B$4,4)</f>
        <v/>
      </c>
      <c r="G1928" s="12">
        <f>F1928/E1928</f>
        <v/>
      </c>
      <c r="H1928" s="10">
        <f>(A1928-B1928-(D1928-1))/(A1928-(D1928-1))</f>
        <v/>
      </c>
      <c r="I1928" s="9">
        <f>A1928&amp;'x'&amp;B1928</f>
        <v/>
      </c>
      <c r="J1928" s="9">
        <f>IF(AND(G1928&gt;0.9,G1928&lt;1),"OK","CHECK")</f>
        <v/>
      </c>
    </row>
    <row r="1929">
      <c r="A1929" s="9" t="n">
        <v>49</v>
      </c>
      <c r="B1929" s="9" t="n">
        <v>23</v>
      </c>
      <c r="C1929" s="9" t="n">
        <v>26</v>
      </c>
      <c r="D1929" s="9" t="n">
        <v>15</v>
      </c>
      <c r="E1929" s="10">
        <f>COMBIN(A1929,D1929)/COMBIN(A1929-B1929,D1929)</f>
        <v/>
      </c>
      <c r="F1929" s="11">
        <f>ROUNDUP(E1929*Controls!$B$4,4)</f>
        <v/>
      </c>
      <c r="G1929" s="12">
        <f>F1929/E1929</f>
        <v/>
      </c>
      <c r="H1929" s="10">
        <f>(A1929-B1929-(D1929-1))/(A1929-(D1929-1))</f>
        <v/>
      </c>
      <c r="I1929" s="9">
        <f>A1929&amp;'x'&amp;B1929</f>
        <v/>
      </c>
      <c r="J1929" s="9">
        <f>IF(AND(G1929&gt;0.9,G1929&lt;1),"OK","CHECK")</f>
        <v/>
      </c>
    </row>
    <row r="1930">
      <c r="A1930" s="9" t="n">
        <v>49</v>
      </c>
      <c r="B1930" s="9" t="n">
        <v>23</v>
      </c>
      <c r="C1930" s="9" t="n">
        <v>26</v>
      </c>
      <c r="D1930" s="9" t="n">
        <v>16</v>
      </c>
      <c r="E1930" s="10">
        <f>COMBIN(A1930,D1930)/COMBIN(A1930-B1930,D1930)</f>
        <v/>
      </c>
      <c r="F1930" s="11">
        <f>ROUNDUP(E1930*Controls!$B$4,4)</f>
        <v/>
      </c>
      <c r="G1930" s="12">
        <f>F1930/E1930</f>
        <v/>
      </c>
      <c r="H1930" s="10">
        <f>(A1930-B1930-(D1930-1))/(A1930-(D1930-1))</f>
        <v/>
      </c>
      <c r="I1930" s="9">
        <f>A1930&amp;'x'&amp;B1930</f>
        <v/>
      </c>
      <c r="J1930" s="9">
        <f>IF(AND(G1930&gt;0.9,G1930&lt;1),"OK","CHECK")</f>
        <v/>
      </c>
    </row>
    <row r="1931">
      <c r="A1931" s="9" t="n">
        <v>49</v>
      </c>
      <c r="B1931" s="9" t="n">
        <v>23</v>
      </c>
      <c r="C1931" s="9" t="n">
        <v>26</v>
      </c>
      <c r="D1931" s="9" t="n">
        <v>17</v>
      </c>
      <c r="E1931" s="10">
        <f>COMBIN(A1931,D1931)/COMBIN(A1931-B1931,D1931)</f>
        <v/>
      </c>
      <c r="F1931" s="11">
        <f>ROUNDUP(E1931*Controls!$B$4,4)</f>
        <v/>
      </c>
      <c r="G1931" s="12">
        <f>F1931/E1931</f>
        <v/>
      </c>
      <c r="H1931" s="10">
        <f>(A1931-B1931-(D1931-1))/(A1931-(D1931-1))</f>
        <v/>
      </c>
      <c r="I1931" s="9">
        <f>A1931&amp;'x'&amp;B1931</f>
        <v/>
      </c>
      <c r="J1931" s="9">
        <f>IF(AND(G1931&gt;0.9,G1931&lt;1),"OK","CHECK")</f>
        <v/>
      </c>
    </row>
    <row r="1932">
      <c r="A1932" s="9" t="n">
        <v>49</v>
      </c>
      <c r="B1932" s="9" t="n">
        <v>23</v>
      </c>
      <c r="C1932" s="9" t="n">
        <v>26</v>
      </c>
      <c r="D1932" s="9" t="n">
        <v>18</v>
      </c>
      <c r="E1932" s="10">
        <f>COMBIN(A1932,D1932)/COMBIN(A1932-B1932,D1932)</f>
        <v/>
      </c>
      <c r="F1932" s="11">
        <f>ROUNDUP(E1932*Controls!$B$4,4)</f>
        <v/>
      </c>
      <c r="G1932" s="12">
        <f>F1932/E1932</f>
        <v/>
      </c>
      <c r="H1932" s="10">
        <f>(A1932-B1932-(D1932-1))/(A1932-(D1932-1))</f>
        <v/>
      </c>
      <c r="I1932" s="9">
        <f>A1932&amp;'x'&amp;B1932</f>
        <v/>
      </c>
      <c r="J1932" s="9">
        <f>IF(AND(G1932&gt;0.9,G1932&lt;1),"OK","CHECK")</f>
        <v/>
      </c>
    </row>
    <row r="1933">
      <c r="A1933" s="9" t="n">
        <v>49</v>
      </c>
      <c r="B1933" s="9" t="n">
        <v>23</v>
      </c>
      <c r="C1933" s="9" t="n">
        <v>26</v>
      </c>
      <c r="D1933" s="9" t="n">
        <v>19</v>
      </c>
      <c r="E1933" s="10">
        <f>COMBIN(A1933,D1933)/COMBIN(A1933-B1933,D1933)</f>
        <v/>
      </c>
      <c r="F1933" s="11">
        <f>ROUNDUP(E1933*Controls!$B$4,4)</f>
        <v/>
      </c>
      <c r="G1933" s="12">
        <f>F1933/E1933</f>
        <v/>
      </c>
      <c r="H1933" s="10">
        <f>(A1933-B1933-(D1933-1))/(A1933-(D1933-1))</f>
        <v/>
      </c>
      <c r="I1933" s="9">
        <f>A1933&amp;'x'&amp;B1933</f>
        <v/>
      </c>
      <c r="J1933" s="9">
        <f>IF(AND(G1933&gt;0.9,G1933&lt;1),"OK","CHECK")</f>
        <v/>
      </c>
    </row>
    <row r="1934">
      <c r="A1934" s="9" t="n">
        <v>49</v>
      </c>
      <c r="B1934" s="9" t="n">
        <v>23</v>
      </c>
      <c r="C1934" s="9" t="n">
        <v>26</v>
      </c>
      <c r="D1934" s="9" t="n">
        <v>20</v>
      </c>
      <c r="E1934" s="10">
        <f>COMBIN(A1934,D1934)/COMBIN(A1934-B1934,D1934)</f>
        <v/>
      </c>
      <c r="F1934" s="11">
        <f>ROUNDUP(E1934*Controls!$B$4,4)</f>
        <v/>
      </c>
      <c r="G1934" s="12">
        <f>F1934/E1934</f>
        <v/>
      </c>
      <c r="H1934" s="10">
        <f>(A1934-B1934-(D1934-1))/(A1934-(D1934-1))</f>
        <v/>
      </c>
      <c r="I1934" s="9">
        <f>A1934&amp;'x'&amp;B1934</f>
        <v/>
      </c>
      <c r="J1934" s="9">
        <f>IF(AND(G1934&gt;0.9,G1934&lt;1),"OK","CHECK")</f>
        <v/>
      </c>
    </row>
    <row r="1935">
      <c r="A1935" s="9" t="n">
        <v>49</v>
      </c>
      <c r="B1935" s="9" t="n">
        <v>23</v>
      </c>
      <c r="C1935" s="9" t="n">
        <v>26</v>
      </c>
      <c r="D1935" s="9" t="n">
        <v>21</v>
      </c>
      <c r="E1935" s="10">
        <f>COMBIN(A1935,D1935)/COMBIN(A1935-B1935,D1935)</f>
        <v/>
      </c>
      <c r="F1935" s="11">
        <f>ROUNDUP(E1935*Controls!$B$4,4)</f>
        <v/>
      </c>
      <c r="G1935" s="12">
        <f>F1935/E1935</f>
        <v/>
      </c>
      <c r="H1935" s="10">
        <f>(A1935-B1935-(D1935-1))/(A1935-(D1935-1))</f>
        <v/>
      </c>
      <c r="I1935" s="9">
        <f>A1935&amp;'x'&amp;B1935</f>
        <v/>
      </c>
      <c r="J1935" s="9">
        <f>IF(AND(G1935&gt;0.9,G1935&lt;1),"OK","CHECK")</f>
        <v/>
      </c>
    </row>
    <row r="1936">
      <c r="A1936" s="9" t="n">
        <v>49</v>
      </c>
      <c r="B1936" s="9" t="n">
        <v>23</v>
      </c>
      <c r="C1936" s="9" t="n">
        <v>26</v>
      </c>
      <c r="D1936" s="9" t="n">
        <v>22</v>
      </c>
      <c r="E1936" s="10">
        <f>COMBIN(A1936,D1936)/COMBIN(A1936-B1936,D1936)</f>
        <v/>
      </c>
      <c r="F1936" s="11">
        <f>ROUNDUP(E1936*Controls!$B$4,4)</f>
        <v/>
      </c>
      <c r="G1936" s="12">
        <f>F1936/E1936</f>
        <v/>
      </c>
      <c r="H1936" s="10">
        <f>(A1936-B1936-(D1936-1))/(A1936-(D1936-1))</f>
        <v/>
      </c>
      <c r="I1936" s="9">
        <f>A1936&amp;'x'&amp;B1936</f>
        <v/>
      </c>
      <c r="J1936" s="9">
        <f>IF(AND(G1936&gt;0.9,G1936&lt;1),"OK","CHECK")</f>
        <v/>
      </c>
    </row>
    <row r="1937">
      <c r="A1937" s="9" t="n">
        <v>49</v>
      </c>
      <c r="B1937" s="9" t="n">
        <v>23</v>
      </c>
      <c r="C1937" s="9" t="n">
        <v>26</v>
      </c>
      <c r="D1937" s="9" t="n">
        <v>23</v>
      </c>
      <c r="E1937" s="10">
        <f>COMBIN(A1937,D1937)/COMBIN(A1937-B1937,D1937)</f>
        <v/>
      </c>
      <c r="F1937" s="11">
        <f>ROUNDUP(E1937*Controls!$B$4,4)</f>
        <v/>
      </c>
      <c r="G1937" s="12">
        <f>F1937/E1937</f>
        <v/>
      </c>
      <c r="H1937" s="10">
        <f>(A1937-B1937-(D1937-1))/(A1937-(D1937-1))</f>
        <v/>
      </c>
      <c r="I1937" s="9">
        <f>A1937&amp;'x'&amp;B1937</f>
        <v/>
      </c>
      <c r="J1937" s="9">
        <f>IF(AND(G1937&gt;0.9,G1937&lt;1),"OK","CHECK")</f>
        <v/>
      </c>
    </row>
    <row r="1938">
      <c r="A1938" s="9" t="n">
        <v>49</v>
      </c>
      <c r="B1938" s="9" t="n">
        <v>23</v>
      </c>
      <c r="C1938" s="9" t="n">
        <v>26</v>
      </c>
      <c r="D1938" s="9" t="n">
        <v>24</v>
      </c>
      <c r="E1938" s="10">
        <f>COMBIN(A1938,D1938)/COMBIN(A1938-B1938,D1938)</f>
        <v/>
      </c>
      <c r="F1938" s="11">
        <f>ROUNDUP(E1938*Controls!$B$4,4)</f>
        <v/>
      </c>
      <c r="G1938" s="12">
        <f>F1938/E1938</f>
        <v/>
      </c>
      <c r="H1938" s="10">
        <f>(A1938-B1938-(D1938-1))/(A1938-(D1938-1))</f>
        <v/>
      </c>
      <c r="I1938" s="9">
        <f>A1938&amp;'x'&amp;B1938</f>
        <v/>
      </c>
      <c r="J1938" s="9">
        <f>IF(AND(G1938&gt;0.9,G1938&lt;1),"OK","CHECK")</f>
        <v/>
      </c>
    </row>
    <row r="1939">
      <c r="A1939" s="9" t="n">
        <v>49</v>
      </c>
      <c r="B1939" s="9" t="n">
        <v>23</v>
      </c>
      <c r="C1939" s="9" t="n">
        <v>26</v>
      </c>
      <c r="D1939" s="9" t="n">
        <v>25</v>
      </c>
      <c r="E1939" s="10">
        <f>COMBIN(A1939,D1939)/COMBIN(A1939-B1939,D1939)</f>
        <v/>
      </c>
      <c r="F1939" s="11">
        <f>ROUNDUP(E1939*Controls!$B$4,4)</f>
        <v/>
      </c>
      <c r="G1939" s="12">
        <f>F1939/E1939</f>
        <v/>
      </c>
      <c r="H1939" s="10">
        <f>(A1939-B1939-(D1939-1))/(A1939-(D1939-1))</f>
        <v/>
      </c>
      <c r="I1939" s="9">
        <f>A1939&amp;'x'&amp;B1939</f>
        <v/>
      </c>
      <c r="J1939" s="9">
        <f>IF(AND(G1939&gt;0.9,G1939&lt;1),"OK","CHECK")</f>
        <v/>
      </c>
    </row>
    <row r="1940">
      <c r="A1940" s="9" t="n">
        <v>49</v>
      </c>
      <c r="B1940" s="9" t="n">
        <v>23</v>
      </c>
      <c r="C1940" s="9" t="n">
        <v>26</v>
      </c>
      <c r="D1940" s="9" t="n">
        <v>26</v>
      </c>
      <c r="E1940" s="10">
        <f>COMBIN(A1940,D1940)/COMBIN(A1940-B1940,D1940)</f>
        <v/>
      </c>
      <c r="F1940" s="11">
        <f>ROUNDUP(E1940*Controls!$B$4,4)</f>
        <v/>
      </c>
      <c r="G1940" s="12">
        <f>F1940/E1940</f>
        <v/>
      </c>
      <c r="H1940" s="10">
        <f>(A1940-B1940-(D1940-1))/(A1940-(D1940-1))</f>
        <v/>
      </c>
      <c r="I1940" s="9">
        <f>A1940&amp;'x'&amp;B1940</f>
        <v/>
      </c>
      <c r="J1940" s="9">
        <f>IF(AND(G1940&gt;0.9,G1940&lt;1),"OK","CHECK")</f>
        <v/>
      </c>
    </row>
    <row r="1941">
      <c r="A1941" s="9" t="n">
        <v>49</v>
      </c>
      <c r="B1941" s="9" t="n">
        <v>24</v>
      </c>
      <c r="C1941" s="9" t="n">
        <v>25</v>
      </c>
      <c r="D1941" s="9" t="n">
        <v>1</v>
      </c>
      <c r="E1941" s="10">
        <f>COMBIN(A1941,D1941)/COMBIN(A1941-B1941,D1941)</f>
        <v/>
      </c>
      <c r="F1941" s="11">
        <f>ROUNDUP(E1941*Controls!$B$4,4)</f>
        <v/>
      </c>
      <c r="G1941" s="12">
        <f>F1941/E1941</f>
        <v/>
      </c>
      <c r="H1941" s="10">
        <f>(A1941-B1941-(D1941-1))/(A1941-(D1941-1))</f>
        <v/>
      </c>
      <c r="I1941" s="9">
        <f>A1941&amp;'x'&amp;B1941</f>
        <v/>
      </c>
      <c r="J1941" s="9">
        <f>IF(AND(G1941&gt;0.9,G1941&lt;1),"OK","CHECK")</f>
        <v/>
      </c>
    </row>
    <row r="1942">
      <c r="A1942" s="9" t="n">
        <v>49</v>
      </c>
      <c r="B1942" s="9" t="n">
        <v>24</v>
      </c>
      <c r="C1942" s="9" t="n">
        <v>25</v>
      </c>
      <c r="D1942" s="9" t="n">
        <v>2</v>
      </c>
      <c r="E1942" s="10">
        <f>COMBIN(A1942,D1942)/COMBIN(A1942-B1942,D1942)</f>
        <v/>
      </c>
      <c r="F1942" s="11">
        <f>ROUNDUP(E1942*Controls!$B$4,4)</f>
        <v/>
      </c>
      <c r="G1942" s="12">
        <f>F1942/E1942</f>
        <v/>
      </c>
      <c r="H1942" s="10">
        <f>(A1942-B1942-(D1942-1))/(A1942-(D1942-1))</f>
        <v/>
      </c>
      <c r="I1942" s="9">
        <f>A1942&amp;'x'&amp;B1942</f>
        <v/>
      </c>
      <c r="J1942" s="9">
        <f>IF(AND(G1942&gt;0.9,G1942&lt;1),"OK","CHECK")</f>
        <v/>
      </c>
    </row>
    <row r="1943">
      <c r="A1943" s="9" t="n">
        <v>49</v>
      </c>
      <c r="B1943" s="9" t="n">
        <v>24</v>
      </c>
      <c r="C1943" s="9" t="n">
        <v>25</v>
      </c>
      <c r="D1943" s="9" t="n">
        <v>3</v>
      </c>
      <c r="E1943" s="10">
        <f>COMBIN(A1943,D1943)/COMBIN(A1943-B1943,D1943)</f>
        <v/>
      </c>
      <c r="F1943" s="11">
        <f>ROUNDUP(E1943*Controls!$B$4,4)</f>
        <v/>
      </c>
      <c r="G1943" s="12">
        <f>F1943/E1943</f>
        <v/>
      </c>
      <c r="H1943" s="10">
        <f>(A1943-B1943-(D1943-1))/(A1943-(D1943-1))</f>
        <v/>
      </c>
      <c r="I1943" s="9">
        <f>A1943&amp;'x'&amp;B1943</f>
        <v/>
      </c>
      <c r="J1943" s="9">
        <f>IF(AND(G1943&gt;0.9,G1943&lt;1),"OK","CHECK")</f>
        <v/>
      </c>
    </row>
    <row r="1944">
      <c r="A1944" s="9" t="n">
        <v>49</v>
      </c>
      <c r="B1944" s="9" t="n">
        <v>24</v>
      </c>
      <c r="C1944" s="9" t="n">
        <v>25</v>
      </c>
      <c r="D1944" s="9" t="n">
        <v>4</v>
      </c>
      <c r="E1944" s="10">
        <f>COMBIN(A1944,D1944)/COMBIN(A1944-B1944,D1944)</f>
        <v/>
      </c>
      <c r="F1944" s="11">
        <f>ROUNDUP(E1944*Controls!$B$4,4)</f>
        <v/>
      </c>
      <c r="G1944" s="12">
        <f>F1944/E1944</f>
        <v/>
      </c>
      <c r="H1944" s="10">
        <f>(A1944-B1944-(D1944-1))/(A1944-(D1944-1))</f>
        <v/>
      </c>
      <c r="I1944" s="9">
        <f>A1944&amp;'x'&amp;B1944</f>
        <v/>
      </c>
      <c r="J1944" s="9">
        <f>IF(AND(G1944&gt;0.9,G1944&lt;1),"OK","CHECK")</f>
        <v/>
      </c>
    </row>
    <row r="1945">
      <c r="A1945" s="9" t="n">
        <v>49</v>
      </c>
      <c r="B1945" s="9" t="n">
        <v>24</v>
      </c>
      <c r="C1945" s="9" t="n">
        <v>25</v>
      </c>
      <c r="D1945" s="9" t="n">
        <v>5</v>
      </c>
      <c r="E1945" s="10">
        <f>COMBIN(A1945,D1945)/COMBIN(A1945-B1945,D1945)</f>
        <v/>
      </c>
      <c r="F1945" s="11">
        <f>ROUNDUP(E1945*Controls!$B$4,4)</f>
        <v/>
      </c>
      <c r="G1945" s="12">
        <f>F1945/E1945</f>
        <v/>
      </c>
      <c r="H1945" s="10">
        <f>(A1945-B1945-(D1945-1))/(A1945-(D1945-1))</f>
        <v/>
      </c>
      <c r="I1945" s="9">
        <f>A1945&amp;'x'&amp;B1945</f>
        <v/>
      </c>
      <c r="J1945" s="9">
        <f>IF(AND(G1945&gt;0.9,G1945&lt;1),"OK","CHECK")</f>
        <v/>
      </c>
    </row>
    <row r="1946">
      <c r="A1946" s="9" t="n">
        <v>49</v>
      </c>
      <c r="B1946" s="9" t="n">
        <v>24</v>
      </c>
      <c r="C1946" s="9" t="n">
        <v>25</v>
      </c>
      <c r="D1946" s="9" t="n">
        <v>6</v>
      </c>
      <c r="E1946" s="10">
        <f>COMBIN(A1946,D1946)/COMBIN(A1946-B1946,D1946)</f>
        <v/>
      </c>
      <c r="F1946" s="11">
        <f>ROUNDUP(E1946*Controls!$B$4,4)</f>
        <v/>
      </c>
      <c r="G1946" s="12">
        <f>F1946/E1946</f>
        <v/>
      </c>
      <c r="H1946" s="10">
        <f>(A1946-B1946-(D1946-1))/(A1946-(D1946-1))</f>
        <v/>
      </c>
      <c r="I1946" s="9">
        <f>A1946&amp;'x'&amp;B1946</f>
        <v/>
      </c>
      <c r="J1946" s="9">
        <f>IF(AND(G1946&gt;0.9,G1946&lt;1),"OK","CHECK")</f>
        <v/>
      </c>
    </row>
    <row r="1947">
      <c r="A1947" s="9" t="n">
        <v>49</v>
      </c>
      <c r="B1947" s="9" t="n">
        <v>24</v>
      </c>
      <c r="C1947" s="9" t="n">
        <v>25</v>
      </c>
      <c r="D1947" s="9" t="n">
        <v>7</v>
      </c>
      <c r="E1947" s="10">
        <f>COMBIN(A1947,D1947)/COMBIN(A1947-B1947,D1947)</f>
        <v/>
      </c>
      <c r="F1947" s="11">
        <f>ROUNDUP(E1947*Controls!$B$4,4)</f>
        <v/>
      </c>
      <c r="G1947" s="12">
        <f>F1947/E1947</f>
        <v/>
      </c>
      <c r="H1947" s="10">
        <f>(A1947-B1947-(D1947-1))/(A1947-(D1947-1))</f>
        <v/>
      </c>
      <c r="I1947" s="9">
        <f>A1947&amp;'x'&amp;B1947</f>
        <v/>
      </c>
      <c r="J1947" s="9">
        <f>IF(AND(G1947&gt;0.9,G1947&lt;1),"OK","CHECK")</f>
        <v/>
      </c>
    </row>
    <row r="1948">
      <c r="A1948" s="9" t="n">
        <v>49</v>
      </c>
      <c r="B1948" s="9" t="n">
        <v>24</v>
      </c>
      <c r="C1948" s="9" t="n">
        <v>25</v>
      </c>
      <c r="D1948" s="9" t="n">
        <v>8</v>
      </c>
      <c r="E1948" s="10">
        <f>COMBIN(A1948,D1948)/COMBIN(A1948-B1948,D1948)</f>
        <v/>
      </c>
      <c r="F1948" s="11">
        <f>ROUNDUP(E1948*Controls!$B$4,4)</f>
        <v/>
      </c>
      <c r="G1948" s="12">
        <f>F1948/E1948</f>
        <v/>
      </c>
      <c r="H1948" s="10">
        <f>(A1948-B1948-(D1948-1))/(A1948-(D1948-1))</f>
        <v/>
      </c>
      <c r="I1948" s="9">
        <f>A1948&amp;'x'&amp;B1948</f>
        <v/>
      </c>
      <c r="J1948" s="9">
        <f>IF(AND(G1948&gt;0.9,G1948&lt;1),"OK","CHECK")</f>
        <v/>
      </c>
    </row>
    <row r="1949">
      <c r="A1949" s="9" t="n">
        <v>49</v>
      </c>
      <c r="B1949" s="9" t="n">
        <v>24</v>
      </c>
      <c r="C1949" s="9" t="n">
        <v>25</v>
      </c>
      <c r="D1949" s="9" t="n">
        <v>9</v>
      </c>
      <c r="E1949" s="10">
        <f>COMBIN(A1949,D1949)/COMBIN(A1949-B1949,D1949)</f>
        <v/>
      </c>
      <c r="F1949" s="11">
        <f>ROUNDUP(E1949*Controls!$B$4,4)</f>
        <v/>
      </c>
      <c r="G1949" s="12">
        <f>F1949/E1949</f>
        <v/>
      </c>
      <c r="H1949" s="10">
        <f>(A1949-B1949-(D1949-1))/(A1949-(D1949-1))</f>
        <v/>
      </c>
      <c r="I1949" s="9">
        <f>A1949&amp;'x'&amp;B1949</f>
        <v/>
      </c>
      <c r="J1949" s="9">
        <f>IF(AND(G1949&gt;0.9,G1949&lt;1),"OK","CHECK")</f>
        <v/>
      </c>
    </row>
    <row r="1950">
      <c r="A1950" s="9" t="n">
        <v>49</v>
      </c>
      <c r="B1950" s="9" t="n">
        <v>24</v>
      </c>
      <c r="C1950" s="9" t="n">
        <v>25</v>
      </c>
      <c r="D1950" s="9" t="n">
        <v>10</v>
      </c>
      <c r="E1950" s="10">
        <f>COMBIN(A1950,D1950)/COMBIN(A1950-B1950,D1950)</f>
        <v/>
      </c>
      <c r="F1950" s="11">
        <f>ROUNDUP(E1950*Controls!$B$4,4)</f>
        <v/>
      </c>
      <c r="G1950" s="12">
        <f>F1950/E1950</f>
        <v/>
      </c>
      <c r="H1950" s="10">
        <f>(A1950-B1950-(D1950-1))/(A1950-(D1950-1))</f>
        <v/>
      </c>
      <c r="I1950" s="9">
        <f>A1950&amp;'x'&amp;B1950</f>
        <v/>
      </c>
      <c r="J1950" s="9">
        <f>IF(AND(G1950&gt;0.9,G1950&lt;1),"OK","CHECK")</f>
        <v/>
      </c>
    </row>
    <row r="1951">
      <c r="A1951" s="9" t="n">
        <v>49</v>
      </c>
      <c r="B1951" s="9" t="n">
        <v>24</v>
      </c>
      <c r="C1951" s="9" t="n">
        <v>25</v>
      </c>
      <c r="D1951" s="9" t="n">
        <v>11</v>
      </c>
      <c r="E1951" s="10">
        <f>COMBIN(A1951,D1951)/COMBIN(A1951-B1951,D1951)</f>
        <v/>
      </c>
      <c r="F1951" s="11">
        <f>ROUNDUP(E1951*Controls!$B$4,4)</f>
        <v/>
      </c>
      <c r="G1951" s="12">
        <f>F1951/E1951</f>
        <v/>
      </c>
      <c r="H1951" s="10">
        <f>(A1951-B1951-(D1951-1))/(A1951-(D1951-1))</f>
        <v/>
      </c>
      <c r="I1951" s="9">
        <f>A1951&amp;'x'&amp;B1951</f>
        <v/>
      </c>
      <c r="J1951" s="9">
        <f>IF(AND(G1951&gt;0.9,G1951&lt;1),"OK","CHECK")</f>
        <v/>
      </c>
    </row>
    <row r="1952">
      <c r="A1952" s="9" t="n">
        <v>49</v>
      </c>
      <c r="B1952" s="9" t="n">
        <v>24</v>
      </c>
      <c r="C1952" s="9" t="n">
        <v>25</v>
      </c>
      <c r="D1952" s="9" t="n">
        <v>12</v>
      </c>
      <c r="E1952" s="10">
        <f>COMBIN(A1952,D1952)/COMBIN(A1952-B1952,D1952)</f>
        <v/>
      </c>
      <c r="F1952" s="11">
        <f>ROUNDUP(E1952*Controls!$B$4,4)</f>
        <v/>
      </c>
      <c r="G1952" s="12">
        <f>F1952/E1952</f>
        <v/>
      </c>
      <c r="H1952" s="10">
        <f>(A1952-B1952-(D1952-1))/(A1952-(D1952-1))</f>
        <v/>
      </c>
      <c r="I1952" s="9">
        <f>A1952&amp;'x'&amp;B1952</f>
        <v/>
      </c>
      <c r="J1952" s="9">
        <f>IF(AND(G1952&gt;0.9,G1952&lt;1),"OK","CHECK")</f>
        <v/>
      </c>
    </row>
    <row r="1953">
      <c r="A1953" s="9" t="n">
        <v>49</v>
      </c>
      <c r="B1953" s="9" t="n">
        <v>24</v>
      </c>
      <c r="C1953" s="9" t="n">
        <v>25</v>
      </c>
      <c r="D1953" s="9" t="n">
        <v>13</v>
      </c>
      <c r="E1953" s="10">
        <f>COMBIN(A1953,D1953)/COMBIN(A1953-B1953,D1953)</f>
        <v/>
      </c>
      <c r="F1953" s="11">
        <f>ROUNDUP(E1953*Controls!$B$4,4)</f>
        <v/>
      </c>
      <c r="G1953" s="12">
        <f>F1953/E1953</f>
        <v/>
      </c>
      <c r="H1953" s="10">
        <f>(A1953-B1953-(D1953-1))/(A1953-(D1953-1))</f>
        <v/>
      </c>
      <c r="I1953" s="9">
        <f>A1953&amp;'x'&amp;B1953</f>
        <v/>
      </c>
      <c r="J1953" s="9">
        <f>IF(AND(G1953&gt;0.9,G1953&lt;1),"OK","CHECK")</f>
        <v/>
      </c>
    </row>
    <row r="1954">
      <c r="A1954" s="9" t="n">
        <v>49</v>
      </c>
      <c r="B1954" s="9" t="n">
        <v>24</v>
      </c>
      <c r="C1954" s="9" t="n">
        <v>25</v>
      </c>
      <c r="D1954" s="9" t="n">
        <v>14</v>
      </c>
      <c r="E1954" s="10">
        <f>COMBIN(A1954,D1954)/COMBIN(A1954-B1954,D1954)</f>
        <v/>
      </c>
      <c r="F1954" s="11">
        <f>ROUNDUP(E1954*Controls!$B$4,4)</f>
        <v/>
      </c>
      <c r="G1954" s="12">
        <f>F1954/E1954</f>
        <v/>
      </c>
      <c r="H1954" s="10">
        <f>(A1954-B1954-(D1954-1))/(A1954-(D1954-1))</f>
        <v/>
      </c>
      <c r="I1954" s="9">
        <f>A1954&amp;'x'&amp;B1954</f>
        <v/>
      </c>
      <c r="J1954" s="9">
        <f>IF(AND(G1954&gt;0.9,G1954&lt;1),"OK","CHECK")</f>
        <v/>
      </c>
    </row>
    <row r="1955">
      <c r="A1955" s="9" t="n">
        <v>49</v>
      </c>
      <c r="B1955" s="9" t="n">
        <v>24</v>
      </c>
      <c r="C1955" s="9" t="n">
        <v>25</v>
      </c>
      <c r="D1955" s="9" t="n">
        <v>15</v>
      </c>
      <c r="E1955" s="10">
        <f>COMBIN(A1955,D1955)/COMBIN(A1955-B1955,D1955)</f>
        <v/>
      </c>
      <c r="F1955" s="11">
        <f>ROUNDUP(E1955*Controls!$B$4,4)</f>
        <v/>
      </c>
      <c r="G1955" s="12">
        <f>F1955/E1955</f>
        <v/>
      </c>
      <c r="H1955" s="10">
        <f>(A1955-B1955-(D1955-1))/(A1955-(D1955-1))</f>
        <v/>
      </c>
      <c r="I1955" s="9">
        <f>A1955&amp;'x'&amp;B1955</f>
        <v/>
      </c>
      <c r="J1955" s="9">
        <f>IF(AND(G1955&gt;0.9,G1955&lt;1),"OK","CHECK")</f>
        <v/>
      </c>
    </row>
    <row r="1956">
      <c r="A1956" s="9" t="n">
        <v>49</v>
      </c>
      <c r="B1956" s="9" t="n">
        <v>24</v>
      </c>
      <c r="C1956" s="9" t="n">
        <v>25</v>
      </c>
      <c r="D1956" s="9" t="n">
        <v>16</v>
      </c>
      <c r="E1956" s="10">
        <f>COMBIN(A1956,D1956)/COMBIN(A1956-B1956,D1956)</f>
        <v/>
      </c>
      <c r="F1956" s="11">
        <f>ROUNDUP(E1956*Controls!$B$4,4)</f>
        <v/>
      </c>
      <c r="G1956" s="12">
        <f>F1956/E1956</f>
        <v/>
      </c>
      <c r="H1956" s="10">
        <f>(A1956-B1956-(D1956-1))/(A1956-(D1956-1))</f>
        <v/>
      </c>
      <c r="I1956" s="9">
        <f>A1956&amp;'x'&amp;B1956</f>
        <v/>
      </c>
      <c r="J1956" s="9">
        <f>IF(AND(G1956&gt;0.9,G1956&lt;1),"OK","CHECK")</f>
        <v/>
      </c>
    </row>
    <row r="1957">
      <c r="A1957" s="9" t="n">
        <v>49</v>
      </c>
      <c r="B1957" s="9" t="n">
        <v>24</v>
      </c>
      <c r="C1957" s="9" t="n">
        <v>25</v>
      </c>
      <c r="D1957" s="9" t="n">
        <v>17</v>
      </c>
      <c r="E1957" s="10">
        <f>COMBIN(A1957,D1957)/COMBIN(A1957-B1957,D1957)</f>
        <v/>
      </c>
      <c r="F1957" s="11">
        <f>ROUNDUP(E1957*Controls!$B$4,4)</f>
        <v/>
      </c>
      <c r="G1957" s="12">
        <f>F1957/E1957</f>
        <v/>
      </c>
      <c r="H1957" s="10">
        <f>(A1957-B1957-(D1957-1))/(A1957-(D1957-1))</f>
        <v/>
      </c>
      <c r="I1957" s="9">
        <f>A1957&amp;'x'&amp;B1957</f>
        <v/>
      </c>
      <c r="J1957" s="9">
        <f>IF(AND(G1957&gt;0.9,G1957&lt;1),"OK","CHECK")</f>
        <v/>
      </c>
    </row>
    <row r="1958">
      <c r="A1958" s="9" t="n">
        <v>49</v>
      </c>
      <c r="B1958" s="9" t="n">
        <v>24</v>
      </c>
      <c r="C1958" s="9" t="n">
        <v>25</v>
      </c>
      <c r="D1958" s="9" t="n">
        <v>18</v>
      </c>
      <c r="E1958" s="10">
        <f>COMBIN(A1958,D1958)/COMBIN(A1958-B1958,D1958)</f>
        <v/>
      </c>
      <c r="F1958" s="11">
        <f>ROUNDUP(E1958*Controls!$B$4,4)</f>
        <v/>
      </c>
      <c r="G1958" s="12">
        <f>F1958/E1958</f>
        <v/>
      </c>
      <c r="H1958" s="10">
        <f>(A1958-B1958-(D1958-1))/(A1958-(D1958-1))</f>
        <v/>
      </c>
      <c r="I1958" s="9">
        <f>A1958&amp;'x'&amp;B1958</f>
        <v/>
      </c>
      <c r="J1958" s="9">
        <f>IF(AND(G1958&gt;0.9,G1958&lt;1),"OK","CHECK")</f>
        <v/>
      </c>
    </row>
    <row r="1959">
      <c r="A1959" s="9" t="n">
        <v>49</v>
      </c>
      <c r="B1959" s="9" t="n">
        <v>24</v>
      </c>
      <c r="C1959" s="9" t="n">
        <v>25</v>
      </c>
      <c r="D1959" s="9" t="n">
        <v>19</v>
      </c>
      <c r="E1959" s="10">
        <f>COMBIN(A1959,D1959)/COMBIN(A1959-B1959,D1959)</f>
        <v/>
      </c>
      <c r="F1959" s="11">
        <f>ROUNDUP(E1959*Controls!$B$4,4)</f>
        <v/>
      </c>
      <c r="G1959" s="12">
        <f>F1959/E1959</f>
        <v/>
      </c>
      <c r="H1959" s="10">
        <f>(A1959-B1959-(D1959-1))/(A1959-(D1959-1))</f>
        <v/>
      </c>
      <c r="I1959" s="9">
        <f>A1959&amp;'x'&amp;B1959</f>
        <v/>
      </c>
      <c r="J1959" s="9">
        <f>IF(AND(G1959&gt;0.9,G1959&lt;1),"OK","CHECK")</f>
        <v/>
      </c>
    </row>
    <row r="1960">
      <c r="A1960" s="9" t="n">
        <v>49</v>
      </c>
      <c r="B1960" s="9" t="n">
        <v>24</v>
      </c>
      <c r="C1960" s="9" t="n">
        <v>25</v>
      </c>
      <c r="D1960" s="9" t="n">
        <v>20</v>
      </c>
      <c r="E1960" s="10">
        <f>COMBIN(A1960,D1960)/COMBIN(A1960-B1960,D1960)</f>
        <v/>
      </c>
      <c r="F1960" s="11">
        <f>ROUNDUP(E1960*Controls!$B$4,4)</f>
        <v/>
      </c>
      <c r="G1960" s="12">
        <f>F1960/E1960</f>
        <v/>
      </c>
      <c r="H1960" s="10">
        <f>(A1960-B1960-(D1960-1))/(A1960-(D1960-1))</f>
        <v/>
      </c>
      <c r="I1960" s="9">
        <f>A1960&amp;'x'&amp;B1960</f>
        <v/>
      </c>
      <c r="J1960" s="9">
        <f>IF(AND(G1960&gt;0.9,G1960&lt;1),"OK","CHECK")</f>
        <v/>
      </c>
    </row>
    <row r="1961">
      <c r="A1961" s="9" t="n">
        <v>49</v>
      </c>
      <c r="B1961" s="9" t="n">
        <v>24</v>
      </c>
      <c r="C1961" s="9" t="n">
        <v>25</v>
      </c>
      <c r="D1961" s="9" t="n">
        <v>21</v>
      </c>
      <c r="E1961" s="10">
        <f>COMBIN(A1961,D1961)/COMBIN(A1961-B1961,D1961)</f>
        <v/>
      </c>
      <c r="F1961" s="11">
        <f>ROUNDUP(E1961*Controls!$B$4,4)</f>
        <v/>
      </c>
      <c r="G1961" s="12">
        <f>F1961/E1961</f>
        <v/>
      </c>
      <c r="H1961" s="10">
        <f>(A1961-B1961-(D1961-1))/(A1961-(D1961-1))</f>
        <v/>
      </c>
      <c r="I1961" s="9">
        <f>A1961&amp;'x'&amp;B1961</f>
        <v/>
      </c>
      <c r="J1961" s="9">
        <f>IF(AND(G1961&gt;0.9,G1961&lt;1),"OK","CHECK")</f>
        <v/>
      </c>
    </row>
    <row r="1962">
      <c r="A1962" s="9" t="n">
        <v>49</v>
      </c>
      <c r="B1962" s="9" t="n">
        <v>24</v>
      </c>
      <c r="C1962" s="9" t="n">
        <v>25</v>
      </c>
      <c r="D1962" s="9" t="n">
        <v>22</v>
      </c>
      <c r="E1962" s="10">
        <f>COMBIN(A1962,D1962)/COMBIN(A1962-B1962,D1962)</f>
        <v/>
      </c>
      <c r="F1962" s="11">
        <f>ROUNDUP(E1962*Controls!$B$4,4)</f>
        <v/>
      </c>
      <c r="G1962" s="12">
        <f>F1962/E1962</f>
        <v/>
      </c>
      <c r="H1962" s="10">
        <f>(A1962-B1962-(D1962-1))/(A1962-(D1962-1))</f>
        <v/>
      </c>
      <c r="I1962" s="9">
        <f>A1962&amp;'x'&amp;B1962</f>
        <v/>
      </c>
      <c r="J1962" s="9">
        <f>IF(AND(G1962&gt;0.9,G1962&lt;1),"OK","CHECK")</f>
        <v/>
      </c>
    </row>
    <row r="1963">
      <c r="A1963" s="9" t="n">
        <v>49</v>
      </c>
      <c r="B1963" s="9" t="n">
        <v>24</v>
      </c>
      <c r="C1963" s="9" t="n">
        <v>25</v>
      </c>
      <c r="D1963" s="9" t="n">
        <v>23</v>
      </c>
      <c r="E1963" s="10">
        <f>COMBIN(A1963,D1963)/COMBIN(A1963-B1963,D1963)</f>
        <v/>
      </c>
      <c r="F1963" s="11">
        <f>ROUNDUP(E1963*Controls!$B$4,4)</f>
        <v/>
      </c>
      <c r="G1963" s="12">
        <f>F1963/E1963</f>
        <v/>
      </c>
      <c r="H1963" s="10">
        <f>(A1963-B1963-(D1963-1))/(A1963-(D1963-1))</f>
        <v/>
      </c>
      <c r="I1963" s="9">
        <f>A1963&amp;'x'&amp;B1963</f>
        <v/>
      </c>
      <c r="J1963" s="9">
        <f>IF(AND(G1963&gt;0.9,G1963&lt;1),"OK","CHECK")</f>
        <v/>
      </c>
    </row>
    <row r="1964">
      <c r="A1964" s="9" t="n">
        <v>49</v>
      </c>
      <c r="B1964" s="9" t="n">
        <v>24</v>
      </c>
      <c r="C1964" s="9" t="n">
        <v>25</v>
      </c>
      <c r="D1964" s="9" t="n">
        <v>24</v>
      </c>
      <c r="E1964" s="10">
        <f>COMBIN(A1964,D1964)/COMBIN(A1964-B1964,D1964)</f>
        <v/>
      </c>
      <c r="F1964" s="11">
        <f>ROUNDUP(E1964*Controls!$B$4,4)</f>
        <v/>
      </c>
      <c r="G1964" s="12">
        <f>F1964/E1964</f>
        <v/>
      </c>
      <c r="H1964" s="10">
        <f>(A1964-B1964-(D1964-1))/(A1964-(D1964-1))</f>
        <v/>
      </c>
      <c r="I1964" s="9">
        <f>A1964&amp;'x'&amp;B1964</f>
        <v/>
      </c>
      <c r="J1964" s="9">
        <f>IF(AND(G1964&gt;0.9,G1964&lt;1),"OK","CHECK")</f>
        <v/>
      </c>
    </row>
    <row r="1965">
      <c r="A1965" s="9" t="n">
        <v>49</v>
      </c>
      <c r="B1965" s="9" t="n">
        <v>24</v>
      </c>
      <c r="C1965" s="9" t="n">
        <v>25</v>
      </c>
      <c r="D1965" s="9" t="n">
        <v>25</v>
      </c>
      <c r="E1965" s="10">
        <f>COMBIN(A1965,D1965)/COMBIN(A1965-B1965,D1965)</f>
        <v/>
      </c>
      <c r="F1965" s="11">
        <f>ROUNDUP(E1965*Controls!$B$4,4)</f>
        <v/>
      </c>
      <c r="G1965" s="12">
        <f>F1965/E1965</f>
        <v/>
      </c>
      <c r="H1965" s="10">
        <f>(A1965-B1965-(D1965-1))/(A1965-(D1965-1))</f>
        <v/>
      </c>
      <c r="I1965" s="9">
        <f>A1965&amp;'x'&amp;B1965</f>
        <v/>
      </c>
      <c r="J1965" s="9">
        <f>IF(AND(G1965&gt;0.9,G1965&lt;1),"OK","CHECK")</f>
        <v/>
      </c>
    </row>
    <row r="1966">
      <c r="A1966" s="9" t="n">
        <v>49</v>
      </c>
      <c r="B1966" s="9" t="n">
        <v>25</v>
      </c>
      <c r="C1966" s="9" t="n">
        <v>24</v>
      </c>
      <c r="D1966" s="9" t="n">
        <v>1</v>
      </c>
      <c r="E1966" s="10">
        <f>COMBIN(A1966,D1966)/COMBIN(A1966-B1966,D1966)</f>
        <v/>
      </c>
      <c r="F1966" s="11">
        <f>ROUNDUP(E1966*Controls!$B$4,4)</f>
        <v/>
      </c>
      <c r="G1966" s="12">
        <f>F1966/E1966</f>
        <v/>
      </c>
      <c r="H1966" s="10">
        <f>(A1966-B1966-(D1966-1))/(A1966-(D1966-1))</f>
        <v/>
      </c>
      <c r="I1966" s="9">
        <f>A1966&amp;'x'&amp;B1966</f>
        <v/>
      </c>
      <c r="J1966" s="9">
        <f>IF(AND(G1966&gt;0.9,G1966&lt;1),"OK","CHECK")</f>
        <v/>
      </c>
    </row>
    <row r="1967">
      <c r="A1967" s="9" t="n">
        <v>49</v>
      </c>
      <c r="B1967" s="9" t="n">
        <v>25</v>
      </c>
      <c r="C1967" s="9" t="n">
        <v>24</v>
      </c>
      <c r="D1967" s="9" t="n">
        <v>2</v>
      </c>
      <c r="E1967" s="10">
        <f>COMBIN(A1967,D1967)/COMBIN(A1967-B1967,D1967)</f>
        <v/>
      </c>
      <c r="F1967" s="11">
        <f>ROUNDUP(E1967*Controls!$B$4,4)</f>
        <v/>
      </c>
      <c r="G1967" s="12">
        <f>F1967/E1967</f>
        <v/>
      </c>
      <c r="H1967" s="10">
        <f>(A1967-B1967-(D1967-1))/(A1967-(D1967-1))</f>
        <v/>
      </c>
      <c r="I1967" s="9">
        <f>A1967&amp;'x'&amp;B1967</f>
        <v/>
      </c>
      <c r="J1967" s="9">
        <f>IF(AND(G1967&gt;0.9,G1967&lt;1),"OK","CHECK")</f>
        <v/>
      </c>
    </row>
    <row r="1968">
      <c r="A1968" s="9" t="n">
        <v>49</v>
      </c>
      <c r="B1968" s="9" t="n">
        <v>25</v>
      </c>
      <c r="C1968" s="9" t="n">
        <v>24</v>
      </c>
      <c r="D1968" s="9" t="n">
        <v>3</v>
      </c>
      <c r="E1968" s="10">
        <f>COMBIN(A1968,D1968)/COMBIN(A1968-B1968,D1968)</f>
        <v/>
      </c>
      <c r="F1968" s="11">
        <f>ROUNDUP(E1968*Controls!$B$4,4)</f>
        <v/>
      </c>
      <c r="G1968" s="12">
        <f>F1968/E1968</f>
        <v/>
      </c>
      <c r="H1968" s="10">
        <f>(A1968-B1968-(D1968-1))/(A1968-(D1968-1))</f>
        <v/>
      </c>
      <c r="I1968" s="9">
        <f>A1968&amp;'x'&amp;B1968</f>
        <v/>
      </c>
      <c r="J1968" s="9">
        <f>IF(AND(G1968&gt;0.9,G1968&lt;1),"OK","CHECK")</f>
        <v/>
      </c>
    </row>
    <row r="1969">
      <c r="A1969" s="9" t="n">
        <v>49</v>
      </c>
      <c r="B1969" s="9" t="n">
        <v>25</v>
      </c>
      <c r="C1969" s="9" t="n">
        <v>24</v>
      </c>
      <c r="D1969" s="9" t="n">
        <v>4</v>
      </c>
      <c r="E1969" s="10">
        <f>COMBIN(A1969,D1969)/COMBIN(A1969-B1969,D1969)</f>
        <v/>
      </c>
      <c r="F1969" s="11">
        <f>ROUNDUP(E1969*Controls!$B$4,4)</f>
        <v/>
      </c>
      <c r="G1969" s="12">
        <f>F1969/E1969</f>
        <v/>
      </c>
      <c r="H1969" s="10">
        <f>(A1969-B1969-(D1969-1))/(A1969-(D1969-1))</f>
        <v/>
      </c>
      <c r="I1969" s="9">
        <f>A1969&amp;'x'&amp;B1969</f>
        <v/>
      </c>
      <c r="J1969" s="9">
        <f>IF(AND(G1969&gt;0.9,G1969&lt;1),"OK","CHECK")</f>
        <v/>
      </c>
    </row>
    <row r="1970">
      <c r="A1970" s="9" t="n">
        <v>49</v>
      </c>
      <c r="B1970" s="9" t="n">
        <v>25</v>
      </c>
      <c r="C1970" s="9" t="n">
        <v>24</v>
      </c>
      <c r="D1970" s="9" t="n">
        <v>5</v>
      </c>
      <c r="E1970" s="10">
        <f>COMBIN(A1970,D1970)/COMBIN(A1970-B1970,D1970)</f>
        <v/>
      </c>
      <c r="F1970" s="11">
        <f>ROUNDUP(E1970*Controls!$B$4,4)</f>
        <v/>
      </c>
      <c r="G1970" s="12">
        <f>F1970/E1970</f>
        <v/>
      </c>
      <c r="H1970" s="10">
        <f>(A1970-B1970-(D1970-1))/(A1970-(D1970-1))</f>
        <v/>
      </c>
      <c r="I1970" s="9">
        <f>A1970&amp;'x'&amp;B1970</f>
        <v/>
      </c>
      <c r="J1970" s="9">
        <f>IF(AND(G1970&gt;0.9,G1970&lt;1),"OK","CHECK")</f>
        <v/>
      </c>
    </row>
    <row r="1971">
      <c r="A1971" s="9" t="n">
        <v>49</v>
      </c>
      <c r="B1971" s="9" t="n">
        <v>25</v>
      </c>
      <c r="C1971" s="9" t="n">
        <v>24</v>
      </c>
      <c r="D1971" s="9" t="n">
        <v>6</v>
      </c>
      <c r="E1971" s="10">
        <f>COMBIN(A1971,D1971)/COMBIN(A1971-B1971,D1971)</f>
        <v/>
      </c>
      <c r="F1971" s="11">
        <f>ROUNDUP(E1971*Controls!$B$4,4)</f>
        <v/>
      </c>
      <c r="G1971" s="12">
        <f>F1971/E1971</f>
        <v/>
      </c>
      <c r="H1971" s="10">
        <f>(A1971-B1971-(D1971-1))/(A1971-(D1971-1))</f>
        <v/>
      </c>
      <c r="I1971" s="9">
        <f>A1971&amp;'x'&amp;B1971</f>
        <v/>
      </c>
      <c r="J1971" s="9">
        <f>IF(AND(G1971&gt;0.9,G1971&lt;1),"OK","CHECK")</f>
        <v/>
      </c>
    </row>
    <row r="1972">
      <c r="A1972" s="9" t="n">
        <v>49</v>
      </c>
      <c r="B1972" s="9" t="n">
        <v>25</v>
      </c>
      <c r="C1972" s="9" t="n">
        <v>24</v>
      </c>
      <c r="D1972" s="9" t="n">
        <v>7</v>
      </c>
      <c r="E1972" s="10">
        <f>COMBIN(A1972,D1972)/COMBIN(A1972-B1972,D1972)</f>
        <v/>
      </c>
      <c r="F1972" s="11">
        <f>ROUNDUP(E1972*Controls!$B$4,4)</f>
        <v/>
      </c>
      <c r="G1972" s="12">
        <f>F1972/E1972</f>
        <v/>
      </c>
      <c r="H1972" s="10">
        <f>(A1972-B1972-(D1972-1))/(A1972-(D1972-1))</f>
        <v/>
      </c>
      <c r="I1972" s="9">
        <f>A1972&amp;'x'&amp;B1972</f>
        <v/>
      </c>
      <c r="J1972" s="9">
        <f>IF(AND(G1972&gt;0.9,G1972&lt;1),"OK","CHECK")</f>
        <v/>
      </c>
    </row>
    <row r="1973">
      <c r="A1973" s="9" t="n">
        <v>49</v>
      </c>
      <c r="B1973" s="9" t="n">
        <v>25</v>
      </c>
      <c r="C1973" s="9" t="n">
        <v>24</v>
      </c>
      <c r="D1973" s="9" t="n">
        <v>8</v>
      </c>
      <c r="E1973" s="10">
        <f>COMBIN(A1973,D1973)/COMBIN(A1973-B1973,D1973)</f>
        <v/>
      </c>
      <c r="F1973" s="11">
        <f>ROUNDUP(E1973*Controls!$B$4,4)</f>
        <v/>
      </c>
      <c r="G1973" s="12">
        <f>F1973/E1973</f>
        <v/>
      </c>
      <c r="H1973" s="10">
        <f>(A1973-B1973-(D1973-1))/(A1973-(D1973-1))</f>
        <v/>
      </c>
      <c r="I1973" s="9">
        <f>A1973&amp;'x'&amp;B1973</f>
        <v/>
      </c>
      <c r="J1973" s="9">
        <f>IF(AND(G1973&gt;0.9,G1973&lt;1),"OK","CHECK")</f>
        <v/>
      </c>
    </row>
    <row r="1974">
      <c r="A1974" s="9" t="n">
        <v>49</v>
      </c>
      <c r="B1974" s="9" t="n">
        <v>25</v>
      </c>
      <c r="C1974" s="9" t="n">
        <v>24</v>
      </c>
      <c r="D1974" s="9" t="n">
        <v>9</v>
      </c>
      <c r="E1974" s="10">
        <f>COMBIN(A1974,D1974)/COMBIN(A1974-B1974,D1974)</f>
        <v/>
      </c>
      <c r="F1974" s="11">
        <f>ROUNDUP(E1974*Controls!$B$4,4)</f>
        <v/>
      </c>
      <c r="G1974" s="12">
        <f>F1974/E1974</f>
        <v/>
      </c>
      <c r="H1974" s="10">
        <f>(A1974-B1974-(D1974-1))/(A1974-(D1974-1))</f>
        <v/>
      </c>
      <c r="I1974" s="9">
        <f>A1974&amp;'x'&amp;B1974</f>
        <v/>
      </c>
      <c r="J1974" s="9">
        <f>IF(AND(G1974&gt;0.9,G1974&lt;1),"OK","CHECK")</f>
        <v/>
      </c>
    </row>
    <row r="1975">
      <c r="A1975" s="9" t="n">
        <v>49</v>
      </c>
      <c r="B1975" s="9" t="n">
        <v>25</v>
      </c>
      <c r="C1975" s="9" t="n">
        <v>24</v>
      </c>
      <c r="D1975" s="9" t="n">
        <v>10</v>
      </c>
      <c r="E1975" s="10">
        <f>COMBIN(A1975,D1975)/COMBIN(A1975-B1975,D1975)</f>
        <v/>
      </c>
      <c r="F1975" s="11">
        <f>ROUNDUP(E1975*Controls!$B$4,4)</f>
        <v/>
      </c>
      <c r="G1975" s="12">
        <f>F1975/E1975</f>
        <v/>
      </c>
      <c r="H1975" s="10">
        <f>(A1975-B1975-(D1975-1))/(A1975-(D1975-1))</f>
        <v/>
      </c>
      <c r="I1975" s="9">
        <f>A1975&amp;'x'&amp;B1975</f>
        <v/>
      </c>
      <c r="J1975" s="9">
        <f>IF(AND(G1975&gt;0.9,G1975&lt;1),"OK","CHECK")</f>
        <v/>
      </c>
    </row>
    <row r="1976">
      <c r="A1976" s="9" t="n">
        <v>49</v>
      </c>
      <c r="B1976" s="9" t="n">
        <v>25</v>
      </c>
      <c r="C1976" s="9" t="n">
        <v>24</v>
      </c>
      <c r="D1976" s="9" t="n">
        <v>11</v>
      </c>
      <c r="E1976" s="10">
        <f>COMBIN(A1976,D1976)/COMBIN(A1976-B1976,D1976)</f>
        <v/>
      </c>
      <c r="F1976" s="11">
        <f>ROUNDUP(E1976*Controls!$B$4,4)</f>
        <v/>
      </c>
      <c r="G1976" s="12">
        <f>F1976/E1976</f>
        <v/>
      </c>
      <c r="H1976" s="10">
        <f>(A1976-B1976-(D1976-1))/(A1976-(D1976-1))</f>
        <v/>
      </c>
      <c r="I1976" s="9">
        <f>A1976&amp;'x'&amp;B1976</f>
        <v/>
      </c>
      <c r="J1976" s="9">
        <f>IF(AND(G1976&gt;0.9,G1976&lt;1),"OK","CHECK")</f>
        <v/>
      </c>
    </row>
    <row r="1977">
      <c r="A1977" s="9" t="n">
        <v>49</v>
      </c>
      <c r="B1977" s="9" t="n">
        <v>25</v>
      </c>
      <c r="C1977" s="9" t="n">
        <v>24</v>
      </c>
      <c r="D1977" s="9" t="n">
        <v>12</v>
      </c>
      <c r="E1977" s="10">
        <f>COMBIN(A1977,D1977)/COMBIN(A1977-B1977,D1977)</f>
        <v/>
      </c>
      <c r="F1977" s="11">
        <f>ROUNDUP(E1977*Controls!$B$4,4)</f>
        <v/>
      </c>
      <c r="G1977" s="12">
        <f>F1977/E1977</f>
        <v/>
      </c>
      <c r="H1977" s="10">
        <f>(A1977-B1977-(D1977-1))/(A1977-(D1977-1))</f>
        <v/>
      </c>
      <c r="I1977" s="9">
        <f>A1977&amp;'x'&amp;B1977</f>
        <v/>
      </c>
      <c r="J1977" s="9">
        <f>IF(AND(G1977&gt;0.9,G1977&lt;1),"OK","CHECK")</f>
        <v/>
      </c>
    </row>
    <row r="1978">
      <c r="A1978" s="9" t="n">
        <v>49</v>
      </c>
      <c r="B1978" s="9" t="n">
        <v>25</v>
      </c>
      <c r="C1978" s="9" t="n">
        <v>24</v>
      </c>
      <c r="D1978" s="9" t="n">
        <v>13</v>
      </c>
      <c r="E1978" s="10">
        <f>COMBIN(A1978,D1978)/COMBIN(A1978-B1978,D1978)</f>
        <v/>
      </c>
      <c r="F1978" s="11">
        <f>ROUNDUP(E1978*Controls!$B$4,4)</f>
        <v/>
      </c>
      <c r="G1978" s="12">
        <f>F1978/E1978</f>
        <v/>
      </c>
      <c r="H1978" s="10">
        <f>(A1978-B1978-(D1978-1))/(A1978-(D1978-1))</f>
        <v/>
      </c>
      <c r="I1978" s="9">
        <f>A1978&amp;'x'&amp;B1978</f>
        <v/>
      </c>
      <c r="J1978" s="9">
        <f>IF(AND(G1978&gt;0.9,G1978&lt;1),"OK","CHECK")</f>
        <v/>
      </c>
    </row>
    <row r="1979">
      <c r="A1979" s="9" t="n">
        <v>49</v>
      </c>
      <c r="B1979" s="9" t="n">
        <v>25</v>
      </c>
      <c r="C1979" s="9" t="n">
        <v>24</v>
      </c>
      <c r="D1979" s="9" t="n">
        <v>14</v>
      </c>
      <c r="E1979" s="10">
        <f>COMBIN(A1979,D1979)/COMBIN(A1979-B1979,D1979)</f>
        <v/>
      </c>
      <c r="F1979" s="11">
        <f>ROUNDUP(E1979*Controls!$B$4,4)</f>
        <v/>
      </c>
      <c r="G1979" s="12">
        <f>F1979/E1979</f>
        <v/>
      </c>
      <c r="H1979" s="10">
        <f>(A1979-B1979-(D1979-1))/(A1979-(D1979-1))</f>
        <v/>
      </c>
      <c r="I1979" s="9">
        <f>A1979&amp;'x'&amp;B1979</f>
        <v/>
      </c>
      <c r="J1979" s="9">
        <f>IF(AND(G1979&gt;0.9,G1979&lt;1),"OK","CHECK")</f>
        <v/>
      </c>
    </row>
    <row r="1980">
      <c r="A1980" s="9" t="n">
        <v>49</v>
      </c>
      <c r="B1980" s="9" t="n">
        <v>25</v>
      </c>
      <c r="C1980" s="9" t="n">
        <v>24</v>
      </c>
      <c r="D1980" s="9" t="n">
        <v>15</v>
      </c>
      <c r="E1980" s="10">
        <f>COMBIN(A1980,D1980)/COMBIN(A1980-B1980,D1980)</f>
        <v/>
      </c>
      <c r="F1980" s="11">
        <f>ROUNDUP(E1980*Controls!$B$4,4)</f>
        <v/>
      </c>
      <c r="G1980" s="12">
        <f>F1980/E1980</f>
        <v/>
      </c>
      <c r="H1980" s="10">
        <f>(A1980-B1980-(D1980-1))/(A1980-(D1980-1))</f>
        <v/>
      </c>
      <c r="I1980" s="9">
        <f>A1980&amp;'x'&amp;B1980</f>
        <v/>
      </c>
      <c r="J1980" s="9">
        <f>IF(AND(G1980&gt;0.9,G1980&lt;1),"OK","CHECK")</f>
        <v/>
      </c>
    </row>
    <row r="1981">
      <c r="A1981" s="9" t="n">
        <v>49</v>
      </c>
      <c r="B1981" s="9" t="n">
        <v>25</v>
      </c>
      <c r="C1981" s="9" t="n">
        <v>24</v>
      </c>
      <c r="D1981" s="9" t="n">
        <v>16</v>
      </c>
      <c r="E1981" s="10">
        <f>COMBIN(A1981,D1981)/COMBIN(A1981-B1981,D1981)</f>
        <v/>
      </c>
      <c r="F1981" s="11">
        <f>ROUNDUP(E1981*Controls!$B$4,4)</f>
        <v/>
      </c>
      <c r="G1981" s="12">
        <f>F1981/E1981</f>
        <v/>
      </c>
      <c r="H1981" s="10">
        <f>(A1981-B1981-(D1981-1))/(A1981-(D1981-1))</f>
        <v/>
      </c>
      <c r="I1981" s="9">
        <f>A1981&amp;'x'&amp;B1981</f>
        <v/>
      </c>
      <c r="J1981" s="9">
        <f>IF(AND(G1981&gt;0.9,G1981&lt;1),"OK","CHECK")</f>
        <v/>
      </c>
    </row>
    <row r="1982">
      <c r="A1982" s="9" t="n">
        <v>49</v>
      </c>
      <c r="B1982" s="9" t="n">
        <v>25</v>
      </c>
      <c r="C1982" s="9" t="n">
        <v>24</v>
      </c>
      <c r="D1982" s="9" t="n">
        <v>17</v>
      </c>
      <c r="E1982" s="10">
        <f>COMBIN(A1982,D1982)/COMBIN(A1982-B1982,D1982)</f>
        <v/>
      </c>
      <c r="F1982" s="11">
        <f>ROUNDUP(E1982*Controls!$B$4,4)</f>
        <v/>
      </c>
      <c r="G1982" s="12">
        <f>F1982/E1982</f>
        <v/>
      </c>
      <c r="H1982" s="10">
        <f>(A1982-B1982-(D1982-1))/(A1982-(D1982-1))</f>
        <v/>
      </c>
      <c r="I1982" s="9">
        <f>A1982&amp;'x'&amp;B1982</f>
        <v/>
      </c>
      <c r="J1982" s="9">
        <f>IF(AND(G1982&gt;0.9,G1982&lt;1),"OK","CHECK")</f>
        <v/>
      </c>
    </row>
    <row r="1983">
      <c r="A1983" s="9" t="n">
        <v>49</v>
      </c>
      <c r="B1983" s="9" t="n">
        <v>25</v>
      </c>
      <c r="C1983" s="9" t="n">
        <v>24</v>
      </c>
      <c r="D1983" s="9" t="n">
        <v>18</v>
      </c>
      <c r="E1983" s="10">
        <f>COMBIN(A1983,D1983)/COMBIN(A1983-B1983,D1983)</f>
        <v/>
      </c>
      <c r="F1983" s="11">
        <f>ROUNDUP(E1983*Controls!$B$4,4)</f>
        <v/>
      </c>
      <c r="G1983" s="12">
        <f>F1983/E1983</f>
        <v/>
      </c>
      <c r="H1983" s="10">
        <f>(A1983-B1983-(D1983-1))/(A1983-(D1983-1))</f>
        <v/>
      </c>
      <c r="I1983" s="9">
        <f>A1983&amp;'x'&amp;B1983</f>
        <v/>
      </c>
      <c r="J1983" s="9">
        <f>IF(AND(G1983&gt;0.9,G1983&lt;1),"OK","CHECK")</f>
        <v/>
      </c>
    </row>
    <row r="1984">
      <c r="A1984" s="9" t="n">
        <v>49</v>
      </c>
      <c r="B1984" s="9" t="n">
        <v>25</v>
      </c>
      <c r="C1984" s="9" t="n">
        <v>24</v>
      </c>
      <c r="D1984" s="9" t="n">
        <v>19</v>
      </c>
      <c r="E1984" s="10">
        <f>COMBIN(A1984,D1984)/COMBIN(A1984-B1984,D1984)</f>
        <v/>
      </c>
      <c r="F1984" s="11">
        <f>ROUNDUP(E1984*Controls!$B$4,4)</f>
        <v/>
      </c>
      <c r="G1984" s="12">
        <f>F1984/E1984</f>
        <v/>
      </c>
      <c r="H1984" s="10">
        <f>(A1984-B1984-(D1984-1))/(A1984-(D1984-1))</f>
        <v/>
      </c>
      <c r="I1984" s="9">
        <f>A1984&amp;'x'&amp;B1984</f>
        <v/>
      </c>
      <c r="J1984" s="9">
        <f>IF(AND(G1984&gt;0.9,G1984&lt;1),"OK","CHECK")</f>
        <v/>
      </c>
    </row>
    <row r="1985">
      <c r="A1985" s="9" t="n">
        <v>49</v>
      </c>
      <c r="B1985" s="9" t="n">
        <v>25</v>
      </c>
      <c r="C1985" s="9" t="n">
        <v>24</v>
      </c>
      <c r="D1985" s="9" t="n">
        <v>20</v>
      </c>
      <c r="E1985" s="10">
        <f>COMBIN(A1985,D1985)/COMBIN(A1985-B1985,D1985)</f>
        <v/>
      </c>
      <c r="F1985" s="11">
        <f>ROUNDUP(E1985*Controls!$B$4,4)</f>
        <v/>
      </c>
      <c r="G1985" s="12">
        <f>F1985/E1985</f>
        <v/>
      </c>
      <c r="H1985" s="10">
        <f>(A1985-B1985-(D1985-1))/(A1985-(D1985-1))</f>
        <v/>
      </c>
      <c r="I1985" s="9">
        <f>A1985&amp;'x'&amp;B1985</f>
        <v/>
      </c>
      <c r="J1985" s="9">
        <f>IF(AND(G1985&gt;0.9,G1985&lt;1),"OK","CHECK")</f>
        <v/>
      </c>
    </row>
    <row r="1986">
      <c r="A1986" s="9" t="n">
        <v>49</v>
      </c>
      <c r="B1986" s="9" t="n">
        <v>25</v>
      </c>
      <c r="C1986" s="9" t="n">
        <v>24</v>
      </c>
      <c r="D1986" s="9" t="n">
        <v>21</v>
      </c>
      <c r="E1986" s="10">
        <f>COMBIN(A1986,D1986)/COMBIN(A1986-B1986,D1986)</f>
        <v/>
      </c>
      <c r="F1986" s="11">
        <f>ROUNDUP(E1986*Controls!$B$4,4)</f>
        <v/>
      </c>
      <c r="G1986" s="12">
        <f>F1986/E1986</f>
        <v/>
      </c>
      <c r="H1986" s="10">
        <f>(A1986-B1986-(D1986-1))/(A1986-(D1986-1))</f>
        <v/>
      </c>
      <c r="I1986" s="9">
        <f>A1986&amp;'x'&amp;B1986</f>
        <v/>
      </c>
      <c r="J1986" s="9">
        <f>IF(AND(G1986&gt;0.9,G1986&lt;1),"OK","CHECK")</f>
        <v/>
      </c>
    </row>
    <row r="1987">
      <c r="A1987" s="9" t="n">
        <v>49</v>
      </c>
      <c r="B1987" s="9" t="n">
        <v>25</v>
      </c>
      <c r="C1987" s="9" t="n">
        <v>24</v>
      </c>
      <c r="D1987" s="9" t="n">
        <v>22</v>
      </c>
      <c r="E1987" s="10">
        <f>COMBIN(A1987,D1987)/COMBIN(A1987-B1987,D1987)</f>
        <v/>
      </c>
      <c r="F1987" s="11">
        <f>ROUNDUP(E1987*Controls!$B$4,4)</f>
        <v/>
      </c>
      <c r="G1987" s="12">
        <f>F1987/E1987</f>
        <v/>
      </c>
      <c r="H1987" s="10">
        <f>(A1987-B1987-(D1987-1))/(A1987-(D1987-1))</f>
        <v/>
      </c>
      <c r="I1987" s="9">
        <f>A1987&amp;'x'&amp;B1987</f>
        <v/>
      </c>
      <c r="J1987" s="9">
        <f>IF(AND(G1987&gt;0.9,G1987&lt;1),"OK","CHECK")</f>
        <v/>
      </c>
    </row>
    <row r="1988">
      <c r="A1988" s="9" t="n">
        <v>49</v>
      </c>
      <c r="B1988" s="9" t="n">
        <v>25</v>
      </c>
      <c r="C1988" s="9" t="n">
        <v>24</v>
      </c>
      <c r="D1988" s="9" t="n">
        <v>23</v>
      </c>
      <c r="E1988" s="10">
        <f>COMBIN(A1988,D1988)/COMBIN(A1988-B1988,D1988)</f>
        <v/>
      </c>
      <c r="F1988" s="11">
        <f>ROUNDUP(E1988*Controls!$B$4,4)</f>
        <v/>
      </c>
      <c r="G1988" s="12">
        <f>F1988/E1988</f>
        <v/>
      </c>
      <c r="H1988" s="10">
        <f>(A1988-B1988-(D1988-1))/(A1988-(D1988-1))</f>
        <v/>
      </c>
      <c r="I1988" s="9">
        <f>A1988&amp;'x'&amp;B1988</f>
        <v/>
      </c>
      <c r="J1988" s="9">
        <f>IF(AND(G1988&gt;0.9,G1988&lt;1),"OK","CHECK")</f>
        <v/>
      </c>
    </row>
    <row r="1989">
      <c r="A1989" s="9" t="n">
        <v>49</v>
      </c>
      <c r="B1989" s="9" t="n">
        <v>25</v>
      </c>
      <c r="C1989" s="9" t="n">
        <v>24</v>
      </c>
      <c r="D1989" s="9" t="n">
        <v>24</v>
      </c>
      <c r="E1989" s="10">
        <f>COMBIN(A1989,D1989)/COMBIN(A1989-B1989,D1989)</f>
        <v/>
      </c>
      <c r="F1989" s="11">
        <f>ROUNDUP(E1989*Controls!$B$4,4)</f>
        <v/>
      </c>
      <c r="G1989" s="12">
        <f>F1989/E1989</f>
        <v/>
      </c>
      <c r="H1989" s="10">
        <f>(A1989-B1989-(D1989-1))/(A1989-(D1989-1))</f>
        <v/>
      </c>
      <c r="I1989" s="9">
        <f>A1989&amp;'x'&amp;B1989</f>
        <v/>
      </c>
      <c r="J1989" s="9">
        <f>IF(AND(G1989&gt;0.9,G1989&lt;1),"OK","CHECK")</f>
        <v/>
      </c>
    </row>
    <row r="1990">
      <c r="A1990" s="9" t="n">
        <v>49</v>
      </c>
      <c r="B1990" s="9" t="n">
        <v>26</v>
      </c>
      <c r="C1990" s="9" t="n">
        <v>23</v>
      </c>
      <c r="D1990" s="9" t="n">
        <v>1</v>
      </c>
      <c r="E1990" s="10">
        <f>COMBIN(A1990,D1990)/COMBIN(A1990-B1990,D1990)</f>
        <v/>
      </c>
      <c r="F1990" s="11">
        <f>ROUNDUP(E1990*Controls!$B$4,4)</f>
        <v/>
      </c>
      <c r="G1990" s="12">
        <f>F1990/E1990</f>
        <v/>
      </c>
      <c r="H1990" s="10">
        <f>(A1990-B1990-(D1990-1))/(A1990-(D1990-1))</f>
        <v/>
      </c>
      <c r="I1990" s="9">
        <f>A1990&amp;'x'&amp;B1990</f>
        <v/>
      </c>
      <c r="J1990" s="9">
        <f>IF(AND(G1990&gt;0.9,G1990&lt;1),"OK","CHECK")</f>
        <v/>
      </c>
    </row>
    <row r="1991">
      <c r="A1991" s="9" t="n">
        <v>49</v>
      </c>
      <c r="B1991" s="9" t="n">
        <v>26</v>
      </c>
      <c r="C1991" s="9" t="n">
        <v>23</v>
      </c>
      <c r="D1991" s="9" t="n">
        <v>2</v>
      </c>
      <c r="E1991" s="10">
        <f>COMBIN(A1991,D1991)/COMBIN(A1991-B1991,D1991)</f>
        <v/>
      </c>
      <c r="F1991" s="11">
        <f>ROUNDUP(E1991*Controls!$B$4,4)</f>
        <v/>
      </c>
      <c r="G1991" s="12">
        <f>F1991/E1991</f>
        <v/>
      </c>
      <c r="H1991" s="10">
        <f>(A1991-B1991-(D1991-1))/(A1991-(D1991-1))</f>
        <v/>
      </c>
      <c r="I1991" s="9">
        <f>A1991&amp;'x'&amp;B1991</f>
        <v/>
      </c>
      <c r="J1991" s="9">
        <f>IF(AND(G1991&gt;0.9,G1991&lt;1),"OK","CHECK")</f>
        <v/>
      </c>
    </row>
    <row r="1992">
      <c r="A1992" s="9" t="n">
        <v>49</v>
      </c>
      <c r="B1992" s="9" t="n">
        <v>26</v>
      </c>
      <c r="C1992" s="9" t="n">
        <v>23</v>
      </c>
      <c r="D1992" s="9" t="n">
        <v>3</v>
      </c>
      <c r="E1992" s="10">
        <f>COMBIN(A1992,D1992)/COMBIN(A1992-B1992,D1992)</f>
        <v/>
      </c>
      <c r="F1992" s="11">
        <f>ROUNDUP(E1992*Controls!$B$4,4)</f>
        <v/>
      </c>
      <c r="G1992" s="12">
        <f>F1992/E1992</f>
        <v/>
      </c>
      <c r="H1992" s="10">
        <f>(A1992-B1992-(D1992-1))/(A1992-(D1992-1))</f>
        <v/>
      </c>
      <c r="I1992" s="9">
        <f>A1992&amp;'x'&amp;B1992</f>
        <v/>
      </c>
      <c r="J1992" s="9">
        <f>IF(AND(G1992&gt;0.9,G1992&lt;1),"OK","CHECK")</f>
        <v/>
      </c>
    </row>
    <row r="1993">
      <c r="A1993" s="9" t="n">
        <v>49</v>
      </c>
      <c r="B1993" s="9" t="n">
        <v>26</v>
      </c>
      <c r="C1993" s="9" t="n">
        <v>23</v>
      </c>
      <c r="D1993" s="9" t="n">
        <v>4</v>
      </c>
      <c r="E1993" s="10">
        <f>COMBIN(A1993,D1993)/COMBIN(A1993-B1993,D1993)</f>
        <v/>
      </c>
      <c r="F1993" s="11">
        <f>ROUNDUP(E1993*Controls!$B$4,4)</f>
        <v/>
      </c>
      <c r="G1993" s="12">
        <f>F1993/E1993</f>
        <v/>
      </c>
      <c r="H1993" s="10">
        <f>(A1993-B1993-(D1993-1))/(A1993-(D1993-1))</f>
        <v/>
      </c>
      <c r="I1993" s="9">
        <f>A1993&amp;'x'&amp;B1993</f>
        <v/>
      </c>
      <c r="J1993" s="9">
        <f>IF(AND(G1993&gt;0.9,G1993&lt;1),"OK","CHECK")</f>
        <v/>
      </c>
    </row>
    <row r="1994">
      <c r="A1994" s="9" t="n">
        <v>49</v>
      </c>
      <c r="B1994" s="9" t="n">
        <v>26</v>
      </c>
      <c r="C1994" s="9" t="n">
        <v>23</v>
      </c>
      <c r="D1994" s="9" t="n">
        <v>5</v>
      </c>
      <c r="E1994" s="10">
        <f>COMBIN(A1994,D1994)/COMBIN(A1994-B1994,D1994)</f>
        <v/>
      </c>
      <c r="F1994" s="11">
        <f>ROUNDUP(E1994*Controls!$B$4,4)</f>
        <v/>
      </c>
      <c r="G1994" s="12">
        <f>F1994/E1994</f>
        <v/>
      </c>
      <c r="H1994" s="10">
        <f>(A1994-B1994-(D1994-1))/(A1994-(D1994-1))</f>
        <v/>
      </c>
      <c r="I1994" s="9">
        <f>A1994&amp;'x'&amp;B1994</f>
        <v/>
      </c>
      <c r="J1994" s="9">
        <f>IF(AND(G1994&gt;0.9,G1994&lt;1),"OK","CHECK")</f>
        <v/>
      </c>
    </row>
    <row r="1995">
      <c r="A1995" s="9" t="n">
        <v>49</v>
      </c>
      <c r="B1995" s="9" t="n">
        <v>26</v>
      </c>
      <c r="C1995" s="9" t="n">
        <v>23</v>
      </c>
      <c r="D1995" s="9" t="n">
        <v>6</v>
      </c>
      <c r="E1995" s="10">
        <f>COMBIN(A1995,D1995)/COMBIN(A1995-B1995,D1995)</f>
        <v/>
      </c>
      <c r="F1995" s="11">
        <f>ROUNDUP(E1995*Controls!$B$4,4)</f>
        <v/>
      </c>
      <c r="G1995" s="12">
        <f>F1995/E1995</f>
        <v/>
      </c>
      <c r="H1995" s="10">
        <f>(A1995-B1995-(D1995-1))/(A1995-(D1995-1))</f>
        <v/>
      </c>
      <c r="I1995" s="9">
        <f>A1995&amp;'x'&amp;B1995</f>
        <v/>
      </c>
      <c r="J1995" s="9">
        <f>IF(AND(G1995&gt;0.9,G1995&lt;1),"OK","CHECK")</f>
        <v/>
      </c>
    </row>
    <row r="1996">
      <c r="A1996" s="9" t="n">
        <v>49</v>
      </c>
      <c r="B1996" s="9" t="n">
        <v>26</v>
      </c>
      <c r="C1996" s="9" t="n">
        <v>23</v>
      </c>
      <c r="D1996" s="9" t="n">
        <v>7</v>
      </c>
      <c r="E1996" s="10">
        <f>COMBIN(A1996,D1996)/COMBIN(A1996-B1996,D1996)</f>
        <v/>
      </c>
      <c r="F1996" s="11">
        <f>ROUNDUP(E1996*Controls!$B$4,4)</f>
        <v/>
      </c>
      <c r="G1996" s="12">
        <f>F1996/E1996</f>
        <v/>
      </c>
      <c r="H1996" s="10">
        <f>(A1996-B1996-(D1996-1))/(A1996-(D1996-1))</f>
        <v/>
      </c>
      <c r="I1996" s="9">
        <f>A1996&amp;'x'&amp;B1996</f>
        <v/>
      </c>
      <c r="J1996" s="9">
        <f>IF(AND(G1996&gt;0.9,G1996&lt;1),"OK","CHECK")</f>
        <v/>
      </c>
    </row>
    <row r="1997">
      <c r="A1997" s="9" t="n">
        <v>49</v>
      </c>
      <c r="B1997" s="9" t="n">
        <v>26</v>
      </c>
      <c r="C1997" s="9" t="n">
        <v>23</v>
      </c>
      <c r="D1997" s="9" t="n">
        <v>8</v>
      </c>
      <c r="E1997" s="10">
        <f>COMBIN(A1997,D1997)/COMBIN(A1997-B1997,D1997)</f>
        <v/>
      </c>
      <c r="F1997" s="11">
        <f>ROUNDUP(E1997*Controls!$B$4,4)</f>
        <v/>
      </c>
      <c r="G1997" s="12">
        <f>F1997/E1997</f>
        <v/>
      </c>
      <c r="H1997" s="10">
        <f>(A1997-B1997-(D1997-1))/(A1997-(D1997-1))</f>
        <v/>
      </c>
      <c r="I1997" s="9">
        <f>A1997&amp;'x'&amp;B1997</f>
        <v/>
      </c>
      <c r="J1997" s="9">
        <f>IF(AND(G1997&gt;0.9,G1997&lt;1),"OK","CHECK")</f>
        <v/>
      </c>
    </row>
    <row r="1998">
      <c r="A1998" s="9" t="n">
        <v>49</v>
      </c>
      <c r="B1998" s="9" t="n">
        <v>26</v>
      </c>
      <c r="C1998" s="9" t="n">
        <v>23</v>
      </c>
      <c r="D1998" s="9" t="n">
        <v>9</v>
      </c>
      <c r="E1998" s="10">
        <f>COMBIN(A1998,D1998)/COMBIN(A1998-B1998,D1998)</f>
        <v/>
      </c>
      <c r="F1998" s="11">
        <f>ROUNDUP(E1998*Controls!$B$4,4)</f>
        <v/>
      </c>
      <c r="G1998" s="12">
        <f>F1998/E1998</f>
        <v/>
      </c>
      <c r="H1998" s="10">
        <f>(A1998-B1998-(D1998-1))/(A1998-(D1998-1))</f>
        <v/>
      </c>
      <c r="I1998" s="9">
        <f>A1998&amp;'x'&amp;B1998</f>
        <v/>
      </c>
      <c r="J1998" s="9">
        <f>IF(AND(G1998&gt;0.9,G1998&lt;1),"OK","CHECK")</f>
        <v/>
      </c>
    </row>
    <row r="1999">
      <c r="A1999" s="9" t="n">
        <v>49</v>
      </c>
      <c r="B1999" s="9" t="n">
        <v>26</v>
      </c>
      <c r="C1999" s="9" t="n">
        <v>23</v>
      </c>
      <c r="D1999" s="9" t="n">
        <v>10</v>
      </c>
      <c r="E1999" s="10">
        <f>COMBIN(A1999,D1999)/COMBIN(A1999-B1999,D1999)</f>
        <v/>
      </c>
      <c r="F1999" s="11">
        <f>ROUNDUP(E1999*Controls!$B$4,4)</f>
        <v/>
      </c>
      <c r="G1999" s="12">
        <f>F1999/E1999</f>
        <v/>
      </c>
      <c r="H1999" s="10">
        <f>(A1999-B1999-(D1999-1))/(A1999-(D1999-1))</f>
        <v/>
      </c>
      <c r="I1999" s="9">
        <f>A1999&amp;'x'&amp;B1999</f>
        <v/>
      </c>
      <c r="J1999" s="9">
        <f>IF(AND(G1999&gt;0.9,G1999&lt;1),"OK","CHECK")</f>
        <v/>
      </c>
    </row>
    <row r="2000">
      <c r="A2000" s="9" t="n">
        <v>49</v>
      </c>
      <c r="B2000" s="9" t="n">
        <v>26</v>
      </c>
      <c r="C2000" s="9" t="n">
        <v>23</v>
      </c>
      <c r="D2000" s="9" t="n">
        <v>11</v>
      </c>
      <c r="E2000" s="10">
        <f>COMBIN(A2000,D2000)/COMBIN(A2000-B2000,D2000)</f>
        <v/>
      </c>
      <c r="F2000" s="11">
        <f>ROUNDUP(E2000*Controls!$B$4,4)</f>
        <v/>
      </c>
      <c r="G2000" s="12">
        <f>F2000/E2000</f>
        <v/>
      </c>
      <c r="H2000" s="10">
        <f>(A2000-B2000-(D2000-1))/(A2000-(D2000-1))</f>
        <v/>
      </c>
      <c r="I2000" s="9">
        <f>A2000&amp;'x'&amp;B2000</f>
        <v/>
      </c>
      <c r="J2000" s="9">
        <f>IF(AND(G2000&gt;0.9,G2000&lt;1),"OK","CHECK")</f>
        <v/>
      </c>
    </row>
    <row r="2001">
      <c r="A2001" s="9" t="n">
        <v>49</v>
      </c>
      <c r="B2001" s="9" t="n">
        <v>26</v>
      </c>
      <c r="C2001" s="9" t="n">
        <v>23</v>
      </c>
      <c r="D2001" s="9" t="n">
        <v>12</v>
      </c>
      <c r="E2001" s="10">
        <f>COMBIN(A2001,D2001)/COMBIN(A2001-B2001,D2001)</f>
        <v/>
      </c>
      <c r="F2001" s="11">
        <f>ROUNDUP(E2001*Controls!$B$4,4)</f>
        <v/>
      </c>
      <c r="G2001" s="12">
        <f>F2001/E2001</f>
        <v/>
      </c>
      <c r="H2001" s="10">
        <f>(A2001-B2001-(D2001-1))/(A2001-(D2001-1))</f>
        <v/>
      </c>
      <c r="I2001" s="9">
        <f>A2001&amp;'x'&amp;B2001</f>
        <v/>
      </c>
      <c r="J2001" s="9">
        <f>IF(AND(G2001&gt;0.9,G2001&lt;1),"OK","CHECK")</f>
        <v/>
      </c>
    </row>
    <row r="2002">
      <c r="A2002" s="9" t="n">
        <v>49</v>
      </c>
      <c r="B2002" s="9" t="n">
        <v>26</v>
      </c>
      <c r="C2002" s="9" t="n">
        <v>23</v>
      </c>
      <c r="D2002" s="9" t="n">
        <v>13</v>
      </c>
      <c r="E2002" s="10">
        <f>COMBIN(A2002,D2002)/COMBIN(A2002-B2002,D2002)</f>
        <v/>
      </c>
      <c r="F2002" s="11">
        <f>ROUNDUP(E2002*Controls!$B$4,4)</f>
        <v/>
      </c>
      <c r="G2002" s="12">
        <f>F2002/E2002</f>
        <v/>
      </c>
      <c r="H2002" s="10">
        <f>(A2002-B2002-(D2002-1))/(A2002-(D2002-1))</f>
        <v/>
      </c>
      <c r="I2002" s="9">
        <f>A2002&amp;'x'&amp;B2002</f>
        <v/>
      </c>
      <c r="J2002" s="9">
        <f>IF(AND(G2002&gt;0.9,G2002&lt;1),"OK","CHECK")</f>
        <v/>
      </c>
    </row>
    <row r="2003">
      <c r="A2003" s="9" t="n">
        <v>49</v>
      </c>
      <c r="B2003" s="9" t="n">
        <v>26</v>
      </c>
      <c r="C2003" s="9" t="n">
        <v>23</v>
      </c>
      <c r="D2003" s="9" t="n">
        <v>14</v>
      </c>
      <c r="E2003" s="10">
        <f>COMBIN(A2003,D2003)/COMBIN(A2003-B2003,D2003)</f>
        <v/>
      </c>
      <c r="F2003" s="11">
        <f>ROUNDUP(E2003*Controls!$B$4,4)</f>
        <v/>
      </c>
      <c r="G2003" s="12">
        <f>F2003/E2003</f>
        <v/>
      </c>
      <c r="H2003" s="10">
        <f>(A2003-B2003-(D2003-1))/(A2003-(D2003-1))</f>
        <v/>
      </c>
      <c r="I2003" s="9">
        <f>A2003&amp;'x'&amp;B2003</f>
        <v/>
      </c>
      <c r="J2003" s="9">
        <f>IF(AND(G2003&gt;0.9,G2003&lt;1),"OK","CHECK")</f>
        <v/>
      </c>
    </row>
    <row r="2004">
      <c r="A2004" s="9" t="n">
        <v>49</v>
      </c>
      <c r="B2004" s="9" t="n">
        <v>26</v>
      </c>
      <c r="C2004" s="9" t="n">
        <v>23</v>
      </c>
      <c r="D2004" s="9" t="n">
        <v>15</v>
      </c>
      <c r="E2004" s="10">
        <f>COMBIN(A2004,D2004)/COMBIN(A2004-B2004,D2004)</f>
        <v/>
      </c>
      <c r="F2004" s="11">
        <f>ROUNDUP(E2004*Controls!$B$4,4)</f>
        <v/>
      </c>
      <c r="G2004" s="12">
        <f>F2004/E2004</f>
        <v/>
      </c>
      <c r="H2004" s="10">
        <f>(A2004-B2004-(D2004-1))/(A2004-(D2004-1))</f>
        <v/>
      </c>
      <c r="I2004" s="9">
        <f>A2004&amp;'x'&amp;B2004</f>
        <v/>
      </c>
      <c r="J2004" s="9">
        <f>IF(AND(G2004&gt;0.9,G2004&lt;1),"OK","CHECK")</f>
        <v/>
      </c>
    </row>
    <row r="2005">
      <c r="A2005" s="9" t="n">
        <v>49</v>
      </c>
      <c r="B2005" s="9" t="n">
        <v>26</v>
      </c>
      <c r="C2005" s="9" t="n">
        <v>23</v>
      </c>
      <c r="D2005" s="9" t="n">
        <v>16</v>
      </c>
      <c r="E2005" s="10">
        <f>COMBIN(A2005,D2005)/COMBIN(A2005-B2005,D2005)</f>
        <v/>
      </c>
      <c r="F2005" s="11">
        <f>ROUNDUP(E2005*Controls!$B$4,4)</f>
        <v/>
      </c>
      <c r="G2005" s="12">
        <f>F2005/E2005</f>
        <v/>
      </c>
      <c r="H2005" s="10">
        <f>(A2005-B2005-(D2005-1))/(A2005-(D2005-1))</f>
        <v/>
      </c>
      <c r="I2005" s="9">
        <f>A2005&amp;'x'&amp;B2005</f>
        <v/>
      </c>
      <c r="J2005" s="9">
        <f>IF(AND(G2005&gt;0.9,G2005&lt;1),"OK","CHECK")</f>
        <v/>
      </c>
    </row>
    <row r="2006">
      <c r="A2006" s="9" t="n">
        <v>49</v>
      </c>
      <c r="B2006" s="9" t="n">
        <v>26</v>
      </c>
      <c r="C2006" s="9" t="n">
        <v>23</v>
      </c>
      <c r="D2006" s="9" t="n">
        <v>17</v>
      </c>
      <c r="E2006" s="10">
        <f>COMBIN(A2006,D2006)/COMBIN(A2006-B2006,D2006)</f>
        <v/>
      </c>
      <c r="F2006" s="11">
        <f>ROUNDUP(E2006*Controls!$B$4,4)</f>
        <v/>
      </c>
      <c r="G2006" s="12">
        <f>F2006/E2006</f>
        <v/>
      </c>
      <c r="H2006" s="10">
        <f>(A2006-B2006-(D2006-1))/(A2006-(D2006-1))</f>
        <v/>
      </c>
      <c r="I2006" s="9">
        <f>A2006&amp;'x'&amp;B2006</f>
        <v/>
      </c>
      <c r="J2006" s="9">
        <f>IF(AND(G2006&gt;0.9,G2006&lt;1),"OK","CHECK")</f>
        <v/>
      </c>
    </row>
    <row r="2007">
      <c r="A2007" s="9" t="n">
        <v>49</v>
      </c>
      <c r="B2007" s="9" t="n">
        <v>26</v>
      </c>
      <c r="C2007" s="9" t="n">
        <v>23</v>
      </c>
      <c r="D2007" s="9" t="n">
        <v>18</v>
      </c>
      <c r="E2007" s="10">
        <f>COMBIN(A2007,D2007)/COMBIN(A2007-B2007,D2007)</f>
        <v/>
      </c>
      <c r="F2007" s="11">
        <f>ROUNDUP(E2007*Controls!$B$4,4)</f>
        <v/>
      </c>
      <c r="G2007" s="12">
        <f>F2007/E2007</f>
        <v/>
      </c>
      <c r="H2007" s="10">
        <f>(A2007-B2007-(D2007-1))/(A2007-(D2007-1))</f>
        <v/>
      </c>
      <c r="I2007" s="9">
        <f>A2007&amp;'x'&amp;B2007</f>
        <v/>
      </c>
      <c r="J2007" s="9">
        <f>IF(AND(G2007&gt;0.9,G2007&lt;1),"OK","CHECK")</f>
        <v/>
      </c>
    </row>
    <row r="2008">
      <c r="A2008" s="9" t="n">
        <v>49</v>
      </c>
      <c r="B2008" s="9" t="n">
        <v>26</v>
      </c>
      <c r="C2008" s="9" t="n">
        <v>23</v>
      </c>
      <c r="D2008" s="9" t="n">
        <v>19</v>
      </c>
      <c r="E2008" s="10">
        <f>COMBIN(A2008,D2008)/COMBIN(A2008-B2008,D2008)</f>
        <v/>
      </c>
      <c r="F2008" s="11">
        <f>ROUNDUP(E2008*Controls!$B$4,4)</f>
        <v/>
      </c>
      <c r="G2008" s="12">
        <f>F2008/E2008</f>
        <v/>
      </c>
      <c r="H2008" s="10">
        <f>(A2008-B2008-(D2008-1))/(A2008-(D2008-1))</f>
        <v/>
      </c>
      <c r="I2008" s="9">
        <f>A2008&amp;'x'&amp;B2008</f>
        <v/>
      </c>
      <c r="J2008" s="9">
        <f>IF(AND(G2008&gt;0.9,G2008&lt;1),"OK","CHECK")</f>
        <v/>
      </c>
    </row>
    <row r="2009">
      <c r="A2009" s="9" t="n">
        <v>49</v>
      </c>
      <c r="B2009" s="9" t="n">
        <v>26</v>
      </c>
      <c r="C2009" s="9" t="n">
        <v>23</v>
      </c>
      <c r="D2009" s="9" t="n">
        <v>20</v>
      </c>
      <c r="E2009" s="10">
        <f>COMBIN(A2009,D2009)/COMBIN(A2009-B2009,D2009)</f>
        <v/>
      </c>
      <c r="F2009" s="11">
        <f>ROUNDUP(E2009*Controls!$B$4,4)</f>
        <v/>
      </c>
      <c r="G2009" s="12">
        <f>F2009/E2009</f>
        <v/>
      </c>
      <c r="H2009" s="10">
        <f>(A2009-B2009-(D2009-1))/(A2009-(D2009-1))</f>
        <v/>
      </c>
      <c r="I2009" s="9">
        <f>A2009&amp;'x'&amp;B2009</f>
        <v/>
      </c>
      <c r="J2009" s="9">
        <f>IF(AND(G2009&gt;0.9,G2009&lt;1),"OK","CHECK")</f>
        <v/>
      </c>
    </row>
    <row r="2010">
      <c r="A2010" s="9" t="n">
        <v>49</v>
      </c>
      <c r="B2010" s="9" t="n">
        <v>26</v>
      </c>
      <c r="C2010" s="9" t="n">
        <v>23</v>
      </c>
      <c r="D2010" s="9" t="n">
        <v>21</v>
      </c>
      <c r="E2010" s="10">
        <f>COMBIN(A2010,D2010)/COMBIN(A2010-B2010,D2010)</f>
        <v/>
      </c>
      <c r="F2010" s="11">
        <f>ROUNDUP(E2010*Controls!$B$4,4)</f>
        <v/>
      </c>
      <c r="G2010" s="12">
        <f>F2010/E2010</f>
        <v/>
      </c>
      <c r="H2010" s="10">
        <f>(A2010-B2010-(D2010-1))/(A2010-(D2010-1))</f>
        <v/>
      </c>
      <c r="I2010" s="9">
        <f>A2010&amp;'x'&amp;B2010</f>
        <v/>
      </c>
      <c r="J2010" s="9">
        <f>IF(AND(G2010&gt;0.9,G2010&lt;1),"OK","CHECK")</f>
        <v/>
      </c>
    </row>
    <row r="2011">
      <c r="A2011" s="9" t="n">
        <v>49</v>
      </c>
      <c r="B2011" s="9" t="n">
        <v>26</v>
      </c>
      <c r="C2011" s="9" t="n">
        <v>23</v>
      </c>
      <c r="D2011" s="9" t="n">
        <v>22</v>
      </c>
      <c r="E2011" s="10">
        <f>COMBIN(A2011,D2011)/COMBIN(A2011-B2011,D2011)</f>
        <v/>
      </c>
      <c r="F2011" s="11">
        <f>ROUNDUP(E2011*Controls!$B$4,4)</f>
        <v/>
      </c>
      <c r="G2011" s="12">
        <f>F2011/E2011</f>
        <v/>
      </c>
      <c r="H2011" s="10">
        <f>(A2011-B2011-(D2011-1))/(A2011-(D2011-1))</f>
        <v/>
      </c>
      <c r="I2011" s="9">
        <f>A2011&amp;'x'&amp;B2011</f>
        <v/>
      </c>
      <c r="J2011" s="9">
        <f>IF(AND(G2011&gt;0.9,G2011&lt;1),"OK","CHECK")</f>
        <v/>
      </c>
    </row>
    <row r="2012">
      <c r="A2012" s="9" t="n">
        <v>49</v>
      </c>
      <c r="B2012" s="9" t="n">
        <v>26</v>
      </c>
      <c r="C2012" s="9" t="n">
        <v>23</v>
      </c>
      <c r="D2012" s="9" t="n">
        <v>23</v>
      </c>
      <c r="E2012" s="10">
        <f>COMBIN(A2012,D2012)/COMBIN(A2012-B2012,D2012)</f>
        <v/>
      </c>
      <c r="F2012" s="11">
        <f>ROUNDUP(E2012*Controls!$B$4,4)</f>
        <v/>
      </c>
      <c r="G2012" s="12">
        <f>F2012/E2012</f>
        <v/>
      </c>
      <c r="H2012" s="10">
        <f>(A2012-B2012-(D2012-1))/(A2012-(D2012-1))</f>
        <v/>
      </c>
      <c r="I2012" s="9">
        <f>A2012&amp;'x'&amp;B2012</f>
        <v/>
      </c>
      <c r="J2012" s="9">
        <f>IF(AND(G2012&gt;0.9,G2012&lt;1),"OK","CHECK")</f>
        <v/>
      </c>
    </row>
    <row r="2013">
      <c r="A2013" s="9" t="n">
        <v>49</v>
      </c>
      <c r="B2013" s="9" t="n">
        <v>27</v>
      </c>
      <c r="C2013" s="9" t="n">
        <v>22</v>
      </c>
      <c r="D2013" s="9" t="n">
        <v>1</v>
      </c>
      <c r="E2013" s="10">
        <f>COMBIN(A2013,D2013)/COMBIN(A2013-B2013,D2013)</f>
        <v/>
      </c>
      <c r="F2013" s="11">
        <f>ROUNDUP(E2013*Controls!$B$4,4)</f>
        <v/>
      </c>
      <c r="G2013" s="12">
        <f>F2013/E2013</f>
        <v/>
      </c>
      <c r="H2013" s="10">
        <f>(A2013-B2013-(D2013-1))/(A2013-(D2013-1))</f>
        <v/>
      </c>
      <c r="I2013" s="9">
        <f>A2013&amp;'x'&amp;B2013</f>
        <v/>
      </c>
      <c r="J2013" s="9">
        <f>IF(AND(G2013&gt;0.9,G2013&lt;1),"OK","CHECK")</f>
        <v/>
      </c>
    </row>
    <row r="2014">
      <c r="A2014" s="9" t="n">
        <v>49</v>
      </c>
      <c r="B2014" s="9" t="n">
        <v>27</v>
      </c>
      <c r="C2014" s="9" t="n">
        <v>22</v>
      </c>
      <c r="D2014" s="9" t="n">
        <v>2</v>
      </c>
      <c r="E2014" s="10">
        <f>COMBIN(A2014,D2014)/COMBIN(A2014-B2014,D2014)</f>
        <v/>
      </c>
      <c r="F2014" s="11">
        <f>ROUNDUP(E2014*Controls!$B$4,4)</f>
        <v/>
      </c>
      <c r="G2014" s="12">
        <f>F2014/E2014</f>
        <v/>
      </c>
      <c r="H2014" s="10">
        <f>(A2014-B2014-(D2014-1))/(A2014-(D2014-1))</f>
        <v/>
      </c>
      <c r="I2014" s="9">
        <f>A2014&amp;'x'&amp;B2014</f>
        <v/>
      </c>
      <c r="J2014" s="9">
        <f>IF(AND(G2014&gt;0.9,G2014&lt;1),"OK","CHECK")</f>
        <v/>
      </c>
    </row>
    <row r="2015">
      <c r="A2015" s="9" t="n">
        <v>49</v>
      </c>
      <c r="B2015" s="9" t="n">
        <v>27</v>
      </c>
      <c r="C2015" s="9" t="n">
        <v>22</v>
      </c>
      <c r="D2015" s="9" t="n">
        <v>3</v>
      </c>
      <c r="E2015" s="10">
        <f>COMBIN(A2015,D2015)/COMBIN(A2015-B2015,D2015)</f>
        <v/>
      </c>
      <c r="F2015" s="11">
        <f>ROUNDUP(E2015*Controls!$B$4,4)</f>
        <v/>
      </c>
      <c r="G2015" s="12">
        <f>F2015/E2015</f>
        <v/>
      </c>
      <c r="H2015" s="10">
        <f>(A2015-B2015-(D2015-1))/(A2015-(D2015-1))</f>
        <v/>
      </c>
      <c r="I2015" s="9">
        <f>A2015&amp;'x'&amp;B2015</f>
        <v/>
      </c>
      <c r="J2015" s="9">
        <f>IF(AND(G2015&gt;0.9,G2015&lt;1),"OK","CHECK")</f>
        <v/>
      </c>
    </row>
    <row r="2016">
      <c r="A2016" s="9" t="n">
        <v>49</v>
      </c>
      <c r="B2016" s="9" t="n">
        <v>27</v>
      </c>
      <c r="C2016" s="9" t="n">
        <v>22</v>
      </c>
      <c r="D2016" s="9" t="n">
        <v>4</v>
      </c>
      <c r="E2016" s="10">
        <f>COMBIN(A2016,D2016)/COMBIN(A2016-B2016,D2016)</f>
        <v/>
      </c>
      <c r="F2016" s="11">
        <f>ROUNDUP(E2016*Controls!$B$4,4)</f>
        <v/>
      </c>
      <c r="G2016" s="12">
        <f>F2016/E2016</f>
        <v/>
      </c>
      <c r="H2016" s="10">
        <f>(A2016-B2016-(D2016-1))/(A2016-(D2016-1))</f>
        <v/>
      </c>
      <c r="I2016" s="9">
        <f>A2016&amp;'x'&amp;B2016</f>
        <v/>
      </c>
      <c r="J2016" s="9">
        <f>IF(AND(G2016&gt;0.9,G2016&lt;1),"OK","CHECK")</f>
        <v/>
      </c>
    </row>
    <row r="2017">
      <c r="A2017" s="9" t="n">
        <v>49</v>
      </c>
      <c r="B2017" s="9" t="n">
        <v>27</v>
      </c>
      <c r="C2017" s="9" t="n">
        <v>22</v>
      </c>
      <c r="D2017" s="9" t="n">
        <v>5</v>
      </c>
      <c r="E2017" s="10">
        <f>COMBIN(A2017,D2017)/COMBIN(A2017-B2017,D2017)</f>
        <v/>
      </c>
      <c r="F2017" s="11">
        <f>ROUNDUP(E2017*Controls!$B$4,4)</f>
        <v/>
      </c>
      <c r="G2017" s="12">
        <f>F2017/E2017</f>
        <v/>
      </c>
      <c r="H2017" s="10">
        <f>(A2017-B2017-(D2017-1))/(A2017-(D2017-1))</f>
        <v/>
      </c>
      <c r="I2017" s="9">
        <f>A2017&amp;'x'&amp;B2017</f>
        <v/>
      </c>
      <c r="J2017" s="9">
        <f>IF(AND(G2017&gt;0.9,G2017&lt;1),"OK","CHECK")</f>
        <v/>
      </c>
    </row>
    <row r="2018">
      <c r="A2018" s="9" t="n">
        <v>49</v>
      </c>
      <c r="B2018" s="9" t="n">
        <v>27</v>
      </c>
      <c r="C2018" s="9" t="n">
        <v>22</v>
      </c>
      <c r="D2018" s="9" t="n">
        <v>6</v>
      </c>
      <c r="E2018" s="10">
        <f>COMBIN(A2018,D2018)/COMBIN(A2018-B2018,D2018)</f>
        <v/>
      </c>
      <c r="F2018" s="11">
        <f>ROUNDUP(E2018*Controls!$B$4,4)</f>
        <v/>
      </c>
      <c r="G2018" s="12">
        <f>F2018/E2018</f>
        <v/>
      </c>
      <c r="H2018" s="10">
        <f>(A2018-B2018-(D2018-1))/(A2018-(D2018-1))</f>
        <v/>
      </c>
      <c r="I2018" s="9">
        <f>A2018&amp;'x'&amp;B2018</f>
        <v/>
      </c>
      <c r="J2018" s="9">
        <f>IF(AND(G2018&gt;0.9,G2018&lt;1),"OK","CHECK")</f>
        <v/>
      </c>
    </row>
    <row r="2019">
      <c r="A2019" s="9" t="n">
        <v>49</v>
      </c>
      <c r="B2019" s="9" t="n">
        <v>27</v>
      </c>
      <c r="C2019" s="9" t="n">
        <v>22</v>
      </c>
      <c r="D2019" s="9" t="n">
        <v>7</v>
      </c>
      <c r="E2019" s="10">
        <f>COMBIN(A2019,D2019)/COMBIN(A2019-B2019,D2019)</f>
        <v/>
      </c>
      <c r="F2019" s="11">
        <f>ROUNDUP(E2019*Controls!$B$4,4)</f>
        <v/>
      </c>
      <c r="G2019" s="12">
        <f>F2019/E2019</f>
        <v/>
      </c>
      <c r="H2019" s="10">
        <f>(A2019-B2019-(D2019-1))/(A2019-(D2019-1))</f>
        <v/>
      </c>
      <c r="I2019" s="9">
        <f>A2019&amp;'x'&amp;B2019</f>
        <v/>
      </c>
      <c r="J2019" s="9">
        <f>IF(AND(G2019&gt;0.9,G2019&lt;1),"OK","CHECK")</f>
        <v/>
      </c>
    </row>
    <row r="2020">
      <c r="A2020" s="9" t="n">
        <v>49</v>
      </c>
      <c r="B2020" s="9" t="n">
        <v>27</v>
      </c>
      <c r="C2020" s="9" t="n">
        <v>22</v>
      </c>
      <c r="D2020" s="9" t="n">
        <v>8</v>
      </c>
      <c r="E2020" s="10">
        <f>COMBIN(A2020,D2020)/COMBIN(A2020-B2020,D2020)</f>
        <v/>
      </c>
      <c r="F2020" s="11">
        <f>ROUNDUP(E2020*Controls!$B$4,4)</f>
        <v/>
      </c>
      <c r="G2020" s="12">
        <f>F2020/E2020</f>
        <v/>
      </c>
      <c r="H2020" s="10">
        <f>(A2020-B2020-(D2020-1))/(A2020-(D2020-1))</f>
        <v/>
      </c>
      <c r="I2020" s="9">
        <f>A2020&amp;'x'&amp;B2020</f>
        <v/>
      </c>
      <c r="J2020" s="9">
        <f>IF(AND(G2020&gt;0.9,G2020&lt;1),"OK","CHECK")</f>
        <v/>
      </c>
    </row>
    <row r="2021">
      <c r="A2021" s="9" t="n">
        <v>49</v>
      </c>
      <c r="B2021" s="9" t="n">
        <v>27</v>
      </c>
      <c r="C2021" s="9" t="n">
        <v>22</v>
      </c>
      <c r="D2021" s="9" t="n">
        <v>9</v>
      </c>
      <c r="E2021" s="10">
        <f>COMBIN(A2021,D2021)/COMBIN(A2021-B2021,D2021)</f>
        <v/>
      </c>
      <c r="F2021" s="11">
        <f>ROUNDUP(E2021*Controls!$B$4,4)</f>
        <v/>
      </c>
      <c r="G2021" s="12">
        <f>F2021/E2021</f>
        <v/>
      </c>
      <c r="H2021" s="10">
        <f>(A2021-B2021-(D2021-1))/(A2021-(D2021-1))</f>
        <v/>
      </c>
      <c r="I2021" s="9">
        <f>A2021&amp;'x'&amp;B2021</f>
        <v/>
      </c>
      <c r="J2021" s="9">
        <f>IF(AND(G2021&gt;0.9,G2021&lt;1),"OK","CHECK")</f>
        <v/>
      </c>
    </row>
    <row r="2022">
      <c r="A2022" s="9" t="n">
        <v>49</v>
      </c>
      <c r="B2022" s="9" t="n">
        <v>27</v>
      </c>
      <c r="C2022" s="9" t="n">
        <v>22</v>
      </c>
      <c r="D2022" s="9" t="n">
        <v>10</v>
      </c>
      <c r="E2022" s="10">
        <f>COMBIN(A2022,D2022)/COMBIN(A2022-B2022,D2022)</f>
        <v/>
      </c>
      <c r="F2022" s="11">
        <f>ROUNDUP(E2022*Controls!$B$4,4)</f>
        <v/>
      </c>
      <c r="G2022" s="12">
        <f>F2022/E2022</f>
        <v/>
      </c>
      <c r="H2022" s="10">
        <f>(A2022-B2022-(D2022-1))/(A2022-(D2022-1))</f>
        <v/>
      </c>
      <c r="I2022" s="9">
        <f>A2022&amp;'x'&amp;B2022</f>
        <v/>
      </c>
      <c r="J2022" s="9">
        <f>IF(AND(G2022&gt;0.9,G2022&lt;1),"OK","CHECK")</f>
        <v/>
      </c>
    </row>
    <row r="2023">
      <c r="A2023" s="9" t="n">
        <v>49</v>
      </c>
      <c r="B2023" s="9" t="n">
        <v>27</v>
      </c>
      <c r="C2023" s="9" t="n">
        <v>22</v>
      </c>
      <c r="D2023" s="9" t="n">
        <v>11</v>
      </c>
      <c r="E2023" s="10">
        <f>COMBIN(A2023,D2023)/COMBIN(A2023-B2023,D2023)</f>
        <v/>
      </c>
      <c r="F2023" s="11">
        <f>ROUNDUP(E2023*Controls!$B$4,4)</f>
        <v/>
      </c>
      <c r="G2023" s="12">
        <f>F2023/E2023</f>
        <v/>
      </c>
      <c r="H2023" s="10">
        <f>(A2023-B2023-(D2023-1))/(A2023-(D2023-1))</f>
        <v/>
      </c>
      <c r="I2023" s="9">
        <f>A2023&amp;'x'&amp;B2023</f>
        <v/>
      </c>
      <c r="J2023" s="9">
        <f>IF(AND(G2023&gt;0.9,G2023&lt;1),"OK","CHECK")</f>
        <v/>
      </c>
    </row>
    <row r="2024">
      <c r="A2024" s="9" t="n">
        <v>49</v>
      </c>
      <c r="B2024" s="9" t="n">
        <v>27</v>
      </c>
      <c r="C2024" s="9" t="n">
        <v>22</v>
      </c>
      <c r="D2024" s="9" t="n">
        <v>12</v>
      </c>
      <c r="E2024" s="10">
        <f>COMBIN(A2024,D2024)/COMBIN(A2024-B2024,D2024)</f>
        <v/>
      </c>
      <c r="F2024" s="11">
        <f>ROUNDUP(E2024*Controls!$B$4,4)</f>
        <v/>
      </c>
      <c r="G2024" s="12">
        <f>F2024/E2024</f>
        <v/>
      </c>
      <c r="H2024" s="10">
        <f>(A2024-B2024-(D2024-1))/(A2024-(D2024-1))</f>
        <v/>
      </c>
      <c r="I2024" s="9">
        <f>A2024&amp;'x'&amp;B2024</f>
        <v/>
      </c>
      <c r="J2024" s="9">
        <f>IF(AND(G2024&gt;0.9,G2024&lt;1),"OK","CHECK")</f>
        <v/>
      </c>
    </row>
    <row r="2025">
      <c r="A2025" s="9" t="n">
        <v>49</v>
      </c>
      <c r="B2025" s="9" t="n">
        <v>27</v>
      </c>
      <c r="C2025" s="9" t="n">
        <v>22</v>
      </c>
      <c r="D2025" s="9" t="n">
        <v>13</v>
      </c>
      <c r="E2025" s="10">
        <f>COMBIN(A2025,D2025)/COMBIN(A2025-B2025,D2025)</f>
        <v/>
      </c>
      <c r="F2025" s="11">
        <f>ROUNDUP(E2025*Controls!$B$4,4)</f>
        <v/>
      </c>
      <c r="G2025" s="12">
        <f>F2025/E2025</f>
        <v/>
      </c>
      <c r="H2025" s="10">
        <f>(A2025-B2025-(D2025-1))/(A2025-(D2025-1))</f>
        <v/>
      </c>
      <c r="I2025" s="9">
        <f>A2025&amp;'x'&amp;B2025</f>
        <v/>
      </c>
      <c r="J2025" s="9">
        <f>IF(AND(G2025&gt;0.9,G2025&lt;1),"OK","CHECK")</f>
        <v/>
      </c>
    </row>
    <row r="2026">
      <c r="A2026" s="9" t="n">
        <v>49</v>
      </c>
      <c r="B2026" s="9" t="n">
        <v>27</v>
      </c>
      <c r="C2026" s="9" t="n">
        <v>22</v>
      </c>
      <c r="D2026" s="9" t="n">
        <v>14</v>
      </c>
      <c r="E2026" s="10">
        <f>COMBIN(A2026,D2026)/COMBIN(A2026-B2026,D2026)</f>
        <v/>
      </c>
      <c r="F2026" s="11">
        <f>ROUNDUP(E2026*Controls!$B$4,4)</f>
        <v/>
      </c>
      <c r="G2026" s="12">
        <f>F2026/E2026</f>
        <v/>
      </c>
      <c r="H2026" s="10">
        <f>(A2026-B2026-(D2026-1))/(A2026-(D2026-1))</f>
        <v/>
      </c>
      <c r="I2026" s="9">
        <f>A2026&amp;'x'&amp;B2026</f>
        <v/>
      </c>
      <c r="J2026" s="9">
        <f>IF(AND(G2026&gt;0.9,G2026&lt;1),"OK","CHECK")</f>
        <v/>
      </c>
    </row>
    <row r="2027">
      <c r="A2027" s="9" t="n">
        <v>49</v>
      </c>
      <c r="B2027" s="9" t="n">
        <v>27</v>
      </c>
      <c r="C2027" s="9" t="n">
        <v>22</v>
      </c>
      <c r="D2027" s="9" t="n">
        <v>15</v>
      </c>
      <c r="E2027" s="10">
        <f>COMBIN(A2027,D2027)/COMBIN(A2027-B2027,D2027)</f>
        <v/>
      </c>
      <c r="F2027" s="11">
        <f>ROUNDUP(E2027*Controls!$B$4,4)</f>
        <v/>
      </c>
      <c r="G2027" s="12">
        <f>F2027/E2027</f>
        <v/>
      </c>
      <c r="H2027" s="10">
        <f>(A2027-B2027-(D2027-1))/(A2027-(D2027-1))</f>
        <v/>
      </c>
      <c r="I2027" s="9">
        <f>A2027&amp;'x'&amp;B2027</f>
        <v/>
      </c>
      <c r="J2027" s="9">
        <f>IF(AND(G2027&gt;0.9,G2027&lt;1),"OK","CHECK")</f>
        <v/>
      </c>
    </row>
    <row r="2028">
      <c r="A2028" s="9" t="n">
        <v>49</v>
      </c>
      <c r="B2028" s="9" t="n">
        <v>27</v>
      </c>
      <c r="C2028" s="9" t="n">
        <v>22</v>
      </c>
      <c r="D2028" s="9" t="n">
        <v>16</v>
      </c>
      <c r="E2028" s="10">
        <f>COMBIN(A2028,D2028)/COMBIN(A2028-B2028,D2028)</f>
        <v/>
      </c>
      <c r="F2028" s="11">
        <f>ROUNDUP(E2028*Controls!$B$4,4)</f>
        <v/>
      </c>
      <c r="G2028" s="12">
        <f>F2028/E2028</f>
        <v/>
      </c>
      <c r="H2028" s="10">
        <f>(A2028-B2028-(D2028-1))/(A2028-(D2028-1))</f>
        <v/>
      </c>
      <c r="I2028" s="9">
        <f>A2028&amp;'x'&amp;B2028</f>
        <v/>
      </c>
      <c r="J2028" s="9">
        <f>IF(AND(G2028&gt;0.9,G2028&lt;1),"OK","CHECK")</f>
        <v/>
      </c>
    </row>
    <row r="2029">
      <c r="A2029" s="9" t="n">
        <v>49</v>
      </c>
      <c r="B2029" s="9" t="n">
        <v>27</v>
      </c>
      <c r="C2029" s="9" t="n">
        <v>22</v>
      </c>
      <c r="D2029" s="9" t="n">
        <v>17</v>
      </c>
      <c r="E2029" s="10">
        <f>COMBIN(A2029,D2029)/COMBIN(A2029-B2029,D2029)</f>
        <v/>
      </c>
      <c r="F2029" s="11">
        <f>ROUNDUP(E2029*Controls!$B$4,4)</f>
        <v/>
      </c>
      <c r="G2029" s="12">
        <f>F2029/E2029</f>
        <v/>
      </c>
      <c r="H2029" s="10">
        <f>(A2029-B2029-(D2029-1))/(A2029-(D2029-1))</f>
        <v/>
      </c>
      <c r="I2029" s="9">
        <f>A2029&amp;'x'&amp;B2029</f>
        <v/>
      </c>
      <c r="J2029" s="9">
        <f>IF(AND(G2029&gt;0.9,G2029&lt;1),"OK","CHECK")</f>
        <v/>
      </c>
    </row>
    <row r="2030">
      <c r="A2030" s="9" t="n">
        <v>49</v>
      </c>
      <c r="B2030" s="9" t="n">
        <v>27</v>
      </c>
      <c r="C2030" s="9" t="n">
        <v>22</v>
      </c>
      <c r="D2030" s="9" t="n">
        <v>18</v>
      </c>
      <c r="E2030" s="10">
        <f>COMBIN(A2030,D2030)/COMBIN(A2030-B2030,D2030)</f>
        <v/>
      </c>
      <c r="F2030" s="11">
        <f>ROUNDUP(E2030*Controls!$B$4,4)</f>
        <v/>
      </c>
      <c r="G2030" s="12">
        <f>F2030/E2030</f>
        <v/>
      </c>
      <c r="H2030" s="10">
        <f>(A2030-B2030-(D2030-1))/(A2030-(D2030-1))</f>
        <v/>
      </c>
      <c r="I2030" s="9">
        <f>A2030&amp;'x'&amp;B2030</f>
        <v/>
      </c>
      <c r="J2030" s="9">
        <f>IF(AND(G2030&gt;0.9,G2030&lt;1),"OK","CHECK")</f>
        <v/>
      </c>
    </row>
    <row r="2031">
      <c r="A2031" s="9" t="n">
        <v>49</v>
      </c>
      <c r="B2031" s="9" t="n">
        <v>27</v>
      </c>
      <c r="C2031" s="9" t="n">
        <v>22</v>
      </c>
      <c r="D2031" s="9" t="n">
        <v>19</v>
      </c>
      <c r="E2031" s="10">
        <f>COMBIN(A2031,D2031)/COMBIN(A2031-B2031,D2031)</f>
        <v/>
      </c>
      <c r="F2031" s="11">
        <f>ROUNDUP(E2031*Controls!$B$4,4)</f>
        <v/>
      </c>
      <c r="G2031" s="12">
        <f>F2031/E2031</f>
        <v/>
      </c>
      <c r="H2031" s="10">
        <f>(A2031-B2031-(D2031-1))/(A2031-(D2031-1))</f>
        <v/>
      </c>
      <c r="I2031" s="9">
        <f>A2031&amp;'x'&amp;B2031</f>
        <v/>
      </c>
      <c r="J2031" s="9">
        <f>IF(AND(G2031&gt;0.9,G2031&lt;1),"OK","CHECK")</f>
        <v/>
      </c>
    </row>
    <row r="2032">
      <c r="A2032" s="9" t="n">
        <v>49</v>
      </c>
      <c r="B2032" s="9" t="n">
        <v>27</v>
      </c>
      <c r="C2032" s="9" t="n">
        <v>22</v>
      </c>
      <c r="D2032" s="9" t="n">
        <v>20</v>
      </c>
      <c r="E2032" s="10">
        <f>COMBIN(A2032,D2032)/COMBIN(A2032-B2032,D2032)</f>
        <v/>
      </c>
      <c r="F2032" s="11">
        <f>ROUNDUP(E2032*Controls!$B$4,4)</f>
        <v/>
      </c>
      <c r="G2032" s="12">
        <f>F2032/E2032</f>
        <v/>
      </c>
      <c r="H2032" s="10">
        <f>(A2032-B2032-(D2032-1))/(A2032-(D2032-1))</f>
        <v/>
      </c>
      <c r="I2032" s="9">
        <f>A2032&amp;'x'&amp;B2032</f>
        <v/>
      </c>
      <c r="J2032" s="9">
        <f>IF(AND(G2032&gt;0.9,G2032&lt;1),"OK","CHECK")</f>
        <v/>
      </c>
    </row>
    <row r="2033">
      <c r="A2033" s="9" t="n">
        <v>49</v>
      </c>
      <c r="B2033" s="9" t="n">
        <v>27</v>
      </c>
      <c r="C2033" s="9" t="n">
        <v>22</v>
      </c>
      <c r="D2033" s="9" t="n">
        <v>21</v>
      </c>
      <c r="E2033" s="10">
        <f>COMBIN(A2033,D2033)/COMBIN(A2033-B2033,D2033)</f>
        <v/>
      </c>
      <c r="F2033" s="11">
        <f>ROUNDUP(E2033*Controls!$B$4,4)</f>
        <v/>
      </c>
      <c r="G2033" s="12">
        <f>F2033/E2033</f>
        <v/>
      </c>
      <c r="H2033" s="10">
        <f>(A2033-B2033-(D2033-1))/(A2033-(D2033-1))</f>
        <v/>
      </c>
      <c r="I2033" s="9">
        <f>A2033&amp;'x'&amp;B2033</f>
        <v/>
      </c>
      <c r="J2033" s="9">
        <f>IF(AND(G2033&gt;0.9,G2033&lt;1),"OK","CHECK")</f>
        <v/>
      </c>
    </row>
    <row r="2034">
      <c r="A2034" s="9" t="n">
        <v>49</v>
      </c>
      <c r="B2034" s="9" t="n">
        <v>27</v>
      </c>
      <c r="C2034" s="9" t="n">
        <v>22</v>
      </c>
      <c r="D2034" s="9" t="n">
        <v>22</v>
      </c>
      <c r="E2034" s="10">
        <f>COMBIN(A2034,D2034)/COMBIN(A2034-B2034,D2034)</f>
        <v/>
      </c>
      <c r="F2034" s="11">
        <f>ROUNDUP(E2034*Controls!$B$4,4)</f>
        <v/>
      </c>
      <c r="G2034" s="12">
        <f>F2034/E2034</f>
        <v/>
      </c>
      <c r="H2034" s="10">
        <f>(A2034-B2034-(D2034-1))/(A2034-(D2034-1))</f>
        <v/>
      </c>
      <c r="I2034" s="9">
        <f>A2034&amp;'x'&amp;B2034</f>
        <v/>
      </c>
      <c r="J2034" s="9">
        <f>IF(AND(G2034&gt;0.9,G2034&lt;1),"OK","CHECK")</f>
        <v/>
      </c>
    </row>
    <row r="2035">
      <c r="A2035" s="9" t="n">
        <v>49</v>
      </c>
      <c r="B2035" s="9" t="n">
        <v>28</v>
      </c>
      <c r="C2035" s="9" t="n">
        <v>21</v>
      </c>
      <c r="D2035" s="9" t="n">
        <v>1</v>
      </c>
      <c r="E2035" s="10">
        <f>COMBIN(A2035,D2035)/COMBIN(A2035-B2035,D2035)</f>
        <v/>
      </c>
      <c r="F2035" s="11">
        <f>ROUNDUP(E2035*Controls!$B$4,4)</f>
        <v/>
      </c>
      <c r="G2035" s="12">
        <f>F2035/E2035</f>
        <v/>
      </c>
      <c r="H2035" s="10">
        <f>(A2035-B2035-(D2035-1))/(A2035-(D2035-1))</f>
        <v/>
      </c>
      <c r="I2035" s="9">
        <f>A2035&amp;'x'&amp;B2035</f>
        <v/>
      </c>
      <c r="J2035" s="9">
        <f>IF(AND(G2035&gt;0.9,G2035&lt;1),"OK","CHECK")</f>
        <v/>
      </c>
    </row>
    <row r="2036">
      <c r="A2036" s="9" t="n">
        <v>49</v>
      </c>
      <c r="B2036" s="9" t="n">
        <v>28</v>
      </c>
      <c r="C2036" s="9" t="n">
        <v>21</v>
      </c>
      <c r="D2036" s="9" t="n">
        <v>2</v>
      </c>
      <c r="E2036" s="10">
        <f>COMBIN(A2036,D2036)/COMBIN(A2036-B2036,D2036)</f>
        <v/>
      </c>
      <c r="F2036" s="11">
        <f>ROUNDUP(E2036*Controls!$B$4,4)</f>
        <v/>
      </c>
      <c r="G2036" s="12">
        <f>F2036/E2036</f>
        <v/>
      </c>
      <c r="H2036" s="10">
        <f>(A2036-B2036-(D2036-1))/(A2036-(D2036-1))</f>
        <v/>
      </c>
      <c r="I2036" s="9">
        <f>A2036&amp;'x'&amp;B2036</f>
        <v/>
      </c>
      <c r="J2036" s="9">
        <f>IF(AND(G2036&gt;0.9,G2036&lt;1),"OK","CHECK")</f>
        <v/>
      </c>
    </row>
    <row r="2037">
      <c r="A2037" s="9" t="n">
        <v>49</v>
      </c>
      <c r="B2037" s="9" t="n">
        <v>28</v>
      </c>
      <c r="C2037" s="9" t="n">
        <v>21</v>
      </c>
      <c r="D2037" s="9" t="n">
        <v>3</v>
      </c>
      <c r="E2037" s="10">
        <f>COMBIN(A2037,D2037)/COMBIN(A2037-B2037,D2037)</f>
        <v/>
      </c>
      <c r="F2037" s="11">
        <f>ROUNDUP(E2037*Controls!$B$4,4)</f>
        <v/>
      </c>
      <c r="G2037" s="12">
        <f>F2037/E2037</f>
        <v/>
      </c>
      <c r="H2037" s="10">
        <f>(A2037-B2037-(D2037-1))/(A2037-(D2037-1))</f>
        <v/>
      </c>
      <c r="I2037" s="9">
        <f>A2037&amp;'x'&amp;B2037</f>
        <v/>
      </c>
      <c r="J2037" s="9">
        <f>IF(AND(G2037&gt;0.9,G2037&lt;1),"OK","CHECK")</f>
        <v/>
      </c>
    </row>
    <row r="2038">
      <c r="A2038" s="9" t="n">
        <v>49</v>
      </c>
      <c r="B2038" s="9" t="n">
        <v>28</v>
      </c>
      <c r="C2038" s="9" t="n">
        <v>21</v>
      </c>
      <c r="D2038" s="9" t="n">
        <v>4</v>
      </c>
      <c r="E2038" s="10">
        <f>COMBIN(A2038,D2038)/COMBIN(A2038-B2038,D2038)</f>
        <v/>
      </c>
      <c r="F2038" s="11">
        <f>ROUNDUP(E2038*Controls!$B$4,4)</f>
        <v/>
      </c>
      <c r="G2038" s="12">
        <f>F2038/E2038</f>
        <v/>
      </c>
      <c r="H2038" s="10">
        <f>(A2038-B2038-(D2038-1))/(A2038-(D2038-1))</f>
        <v/>
      </c>
      <c r="I2038" s="9">
        <f>A2038&amp;'x'&amp;B2038</f>
        <v/>
      </c>
      <c r="J2038" s="9">
        <f>IF(AND(G2038&gt;0.9,G2038&lt;1),"OK","CHECK")</f>
        <v/>
      </c>
    </row>
    <row r="2039">
      <c r="A2039" s="9" t="n">
        <v>49</v>
      </c>
      <c r="B2039" s="9" t="n">
        <v>28</v>
      </c>
      <c r="C2039" s="9" t="n">
        <v>21</v>
      </c>
      <c r="D2039" s="9" t="n">
        <v>5</v>
      </c>
      <c r="E2039" s="10">
        <f>COMBIN(A2039,D2039)/COMBIN(A2039-B2039,D2039)</f>
        <v/>
      </c>
      <c r="F2039" s="11">
        <f>ROUNDUP(E2039*Controls!$B$4,4)</f>
        <v/>
      </c>
      <c r="G2039" s="12">
        <f>F2039/E2039</f>
        <v/>
      </c>
      <c r="H2039" s="10">
        <f>(A2039-B2039-(D2039-1))/(A2039-(D2039-1))</f>
        <v/>
      </c>
      <c r="I2039" s="9">
        <f>A2039&amp;'x'&amp;B2039</f>
        <v/>
      </c>
      <c r="J2039" s="9">
        <f>IF(AND(G2039&gt;0.9,G2039&lt;1),"OK","CHECK")</f>
        <v/>
      </c>
    </row>
    <row r="2040">
      <c r="A2040" s="9" t="n">
        <v>49</v>
      </c>
      <c r="B2040" s="9" t="n">
        <v>28</v>
      </c>
      <c r="C2040" s="9" t="n">
        <v>21</v>
      </c>
      <c r="D2040" s="9" t="n">
        <v>6</v>
      </c>
      <c r="E2040" s="10">
        <f>COMBIN(A2040,D2040)/COMBIN(A2040-B2040,D2040)</f>
        <v/>
      </c>
      <c r="F2040" s="11">
        <f>ROUNDUP(E2040*Controls!$B$4,4)</f>
        <v/>
      </c>
      <c r="G2040" s="12">
        <f>F2040/E2040</f>
        <v/>
      </c>
      <c r="H2040" s="10">
        <f>(A2040-B2040-(D2040-1))/(A2040-(D2040-1))</f>
        <v/>
      </c>
      <c r="I2040" s="9">
        <f>A2040&amp;'x'&amp;B2040</f>
        <v/>
      </c>
      <c r="J2040" s="9">
        <f>IF(AND(G2040&gt;0.9,G2040&lt;1),"OK","CHECK")</f>
        <v/>
      </c>
    </row>
    <row r="2041">
      <c r="A2041" s="9" t="n">
        <v>49</v>
      </c>
      <c r="B2041" s="9" t="n">
        <v>28</v>
      </c>
      <c r="C2041" s="9" t="n">
        <v>21</v>
      </c>
      <c r="D2041" s="9" t="n">
        <v>7</v>
      </c>
      <c r="E2041" s="10">
        <f>COMBIN(A2041,D2041)/COMBIN(A2041-B2041,D2041)</f>
        <v/>
      </c>
      <c r="F2041" s="11">
        <f>ROUNDUP(E2041*Controls!$B$4,4)</f>
        <v/>
      </c>
      <c r="G2041" s="12">
        <f>F2041/E2041</f>
        <v/>
      </c>
      <c r="H2041" s="10">
        <f>(A2041-B2041-(D2041-1))/(A2041-(D2041-1))</f>
        <v/>
      </c>
      <c r="I2041" s="9">
        <f>A2041&amp;'x'&amp;B2041</f>
        <v/>
      </c>
      <c r="J2041" s="9">
        <f>IF(AND(G2041&gt;0.9,G2041&lt;1),"OK","CHECK")</f>
        <v/>
      </c>
    </row>
    <row r="2042">
      <c r="A2042" s="9" t="n">
        <v>49</v>
      </c>
      <c r="B2042" s="9" t="n">
        <v>28</v>
      </c>
      <c r="C2042" s="9" t="n">
        <v>21</v>
      </c>
      <c r="D2042" s="9" t="n">
        <v>8</v>
      </c>
      <c r="E2042" s="10">
        <f>COMBIN(A2042,D2042)/COMBIN(A2042-B2042,D2042)</f>
        <v/>
      </c>
      <c r="F2042" s="11">
        <f>ROUNDUP(E2042*Controls!$B$4,4)</f>
        <v/>
      </c>
      <c r="G2042" s="12">
        <f>F2042/E2042</f>
        <v/>
      </c>
      <c r="H2042" s="10">
        <f>(A2042-B2042-(D2042-1))/(A2042-(D2042-1))</f>
        <v/>
      </c>
      <c r="I2042" s="9">
        <f>A2042&amp;'x'&amp;B2042</f>
        <v/>
      </c>
      <c r="J2042" s="9">
        <f>IF(AND(G2042&gt;0.9,G2042&lt;1),"OK","CHECK")</f>
        <v/>
      </c>
    </row>
    <row r="2043">
      <c r="A2043" s="9" t="n">
        <v>49</v>
      </c>
      <c r="B2043" s="9" t="n">
        <v>28</v>
      </c>
      <c r="C2043" s="9" t="n">
        <v>21</v>
      </c>
      <c r="D2043" s="9" t="n">
        <v>9</v>
      </c>
      <c r="E2043" s="10">
        <f>COMBIN(A2043,D2043)/COMBIN(A2043-B2043,D2043)</f>
        <v/>
      </c>
      <c r="F2043" s="11">
        <f>ROUNDUP(E2043*Controls!$B$4,4)</f>
        <v/>
      </c>
      <c r="G2043" s="12">
        <f>F2043/E2043</f>
        <v/>
      </c>
      <c r="H2043" s="10">
        <f>(A2043-B2043-(D2043-1))/(A2043-(D2043-1))</f>
        <v/>
      </c>
      <c r="I2043" s="9">
        <f>A2043&amp;'x'&amp;B2043</f>
        <v/>
      </c>
      <c r="J2043" s="9">
        <f>IF(AND(G2043&gt;0.9,G2043&lt;1),"OK","CHECK")</f>
        <v/>
      </c>
    </row>
    <row r="2044">
      <c r="A2044" s="9" t="n">
        <v>49</v>
      </c>
      <c r="B2044" s="9" t="n">
        <v>28</v>
      </c>
      <c r="C2044" s="9" t="n">
        <v>21</v>
      </c>
      <c r="D2044" s="9" t="n">
        <v>10</v>
      </c>
      <c r="E2044" s="10">
        <f>COMBIN(A2044,D2044)/COMBIN(A2044-B2044,D2044)</f>
        <v/>
      </c>
      <c r="F2044" s="11">
        <f>ROUNDUP(E2044*Controls!$B$4,4)</f>
        <v/>
      </c>
      <c r="G2044" s="12">
        <f>F2044/E2044</f>
        <v/>
      </c>
      <c r="H2044" s="10">
        <f>(A2044-B2044-(D2044-1))/(A2044-(D2044-1))</f>
        <v/>
      </c>
      <c r="I2044" s="9">
        <f>A2044&amp;'x'&amp;B2044</f>
        <v/>
      </c>
      <c r="J2044" s="9">
        <f>IF(AND(G2044&gt;0.9,G2044&lt;1),"OK","CHECK")</f>
        <v/>
      </c>
    </row>
    <row r="2045">
      <c r="A2045" s="9" t="n">
        <v>49</v>
      </c>
      <c r="B2045" s="9" t="n">
        <v>28</v>
      </c>
      <c r="C2045" s="9" t="n">
        <v>21</v>
      </c>
      <c r="D2045" s="9" t="n">
        <v>11</v>
      </c>
      <c r="E2045" s="10">
        <f>COMBIN(A2045,D2045)/COMBIN(A2045-B2045,D2045)</f>
        <v/>
      </c>
      <c r="F2045" s="11">
        <f>ROUNDUP(E2045*Controls!$B$4,4)</f>
        <v/>
      </c>
      <c r="G2045" s="12">
        <f>F2045/E2045</f>
        <v/>
      </c>
      <c r="H2045" s="10">
        <f>(A2045-B2045-(D2045-1))/(A2045-(D2045-1))</f>
        <v/>
      </c>
      <c r="I2045" s="9">
        <f>A2045&amp;'x'&amp;B2045</f>
        <v/>
      </c>
      <c r="J2045" s="9">
        <f>IF(AND(G2045&gt;0.9,G2045&lt;1),"OK","CHECK")</f>
        <v/>
      </c>
    </row>
    <row r="2046">
      <c r="A2046" s="9" t="n">
        <v>49</v>
      </c>
      <c r="B2046" s="9" t="n">
        <v>28</v>
      </c>
      <c r="C2046" s="9" t="n">
        <v>21</v>
      </c>
      <c r="D2046" s="9" t="n">
        <v>12</v>
      </c>
      <c r="E2046" s="10">
        <f>COMBIN(A2046,D2046)/COMBIN(A2046-B2046,D2046)</f>
        <v/>
      </c>
      <c r="F2046" s="11">
        <f>ROUNDUP(E2046*Controls!$B$4,4)</f>
        <v/>
      </c>
      <c r="G2046" s="12">
        <f>F2046/E2046</f>
        <v/>
      </c>
      <c r="H2046" s="10">
        <f>(A2046-B2046-(D2046-1))/(A2046-(D2046-1))</f>
        <v/>
      </c>
      <c r="I2046" s="9">
        <f>A2046&amp;'x'&amp;B2046</f>
        <v/>
      </c>
      <c r="J2046" s="9">
        <f>IF(AND(G2046&gt;0.9,G2046&lt;1),"OK","CHECK")</f>
        <v/>
      </c>
    </row>
    <row r="2047">
      <c r="A2047" s="9" t="n">
        <v>49</v>
      </c>
      <c r="B2047" s="9" t="n">
        <v>28</v>
      </c>
      <c r="C2047" s="9" t="n">
        <v>21</v>
      </c>
      <c r="D2047" s="9" t="n">
        <v>13</v>
      </c>
      <c r="E2047" s="10">
        <f>COMBIN(A2047,D2047)/COMBIN(A2047-B2047,D2047)</f>
        <v/>
      </c>
      <c r="F2047" s="11">
        <f>ROUNDUP(E2047*Controls!$B$4,4)</f>
        <v/>
      </c>
      <c r="G2047" s="12">
        <f>F2047/E2047</f>
        <v/>
      </c>
      <c r="H2047" s="10">
        <f>(A2047-B2047-(D2047-1))/(A2047-(D2047-1))</f>
        <v/>
      </c>
      <c r="I2047" s="9">
        <f>A2047&amp;'x'&amp;B2047</f>
        <v/>
      </c>
      <c r="J2047" s="9">
        <f>IF(AND(G2047&gt;0.9,G2047&lt;1),"OK","CHECK")</f>
        <v/>
      </c>
    </row>
    <row r="2048">
      <c r="A2048" s="9" t="n">
        <v>49</v>
      </c>
      <c r="B2048" s="9" t="n">
        <v>28</v>
      </c>
      <c r="C2048" s="9" t="n">
        <v>21</v>
      </c>
      <c r="D2048" s="9" t="n">
        <v>14</v>
      </c>
      <c r="E2048" s="10">
        <f>COMBIN(A2048,D2048)/COMBIN(A2048-B2048,D2048)</f>
        <v/>
      </c>
      <c r="F2048" s="11">
        <f>ROUNDUP(E2048*Controls!$B$4,4)</f>
        <v/>
      </c>
      <c r="G2048" s="12">
        <f>F2048/E2048</f>
        <v/>
      </c>
      <c r="H2048" s="10">
        <f>(A2048-B2048-(D2048-1))/(A2048-(D2048-1))</f>
        <v/>
      </c>
      <c r="I2048" s="9">
        <f>A2048&amp;'x'&amp;B2048</f>
        <v/>
      </c>
      <c r="J2048" s="9">
        <f>IF(AND(G2048&gt;0.9,G2048&lt;1),"OK","CHECK")</f>
        <v/>
      </c>
    </row>
    <row r="2049">
      <c r="A2049" s="9" t="n">
        <v>49</v>
      </c>
      <c r="B2049" s="9" t="n">
        <v>28</v>
      </c>
      <c r="C2049" s="9" t="n">
        <v>21</v>
      </c>
      <c r="D2049" s="9" t="n">
        <v>15</v>
      </c>
      <c r="E2049" s="10">
        <f>COMBIN(A2049,D2049)/COMBIN(A2049-B2049,D2049)</f>
        <v/>
      </c>
      <c r="F2049" s="11">
        <f>ROUNDUP(E2049*Controls!$B$4,4)</f>
        <v/>
      </c>
      <c r="G2049" s="12">
        <f>F2049/E2049</f>
        <v/>
      </c>
      <c r="H2049" s="10">
        <f>(A2049-B2049-(D2049-1))/(A2049-(D2049-1))</f>
        <v/>
      </c>
      <c r="I2049" s="9">
        <f>A2049&amp;'x'&amp;B2049</f>
        <v/>
      </c>
      <c r="J2049" s="9">
        <f>IF(AND(G2049&gt;0.9,G2049&lt;1),"OK","CHECK")</f>
        <v/>
      </c>
    </row>
    <row r="2050">
      <c r="A2050" s="9" t="n">
        <v>49</v>
      </c>
      <c r="B2050" s="9" t="n">
        <v>28</v>
      </c>
      <c r="C2050" s="9" t="n">
        <v>21</v>
      </c>
      <c r="D2050" s="9" t="n">
        <v>16</v>
      </c>
      <c r="E2050" s="10">
        <f>COMBIN(A2050,D2050)/COMBIN(A2050-B2050,D2050)</f>
        <v/>
      </c>
      <c r="F2050" s="11">
        <f>ROUNDUP(E2050*Controls!$B$4,4)</f>
        <v/>
      </c>
      <c r="G2050" s="12">
        <f>F2050/E2050</f>
        <v/>
      </c>
      <c r="H2050" s="10">
        <f>(A2050-B2050-(D2050-1))/(A2050-(D2050-1))</f>
        <v/>
      </c>
      <c r="I2050" s="9">
        <f>A2050&amp;'x'&amp;B2050</f>
        <v/>
      </c>
      <c r="J2050" s="9">
        <f>IF(AND(G2050&gt;0.9,G2050&lt;1),"OK","CHECK")</f>
        <v/>
      </c>
    </row>
    <row r="2051">
      <c r="A2051" s="9" t="n">
        <v>49</v>
      </c>
      <c r="B2051" s="9" t="n">
        <v>28</v>
      </c>
      <c r="C2051" s="9" t="n">
        <v>21</v>
      </c>
      <c r="D2051" s="9" t="n">
        <v>17</v>
      </c>
      <c r="E2051" s="10">
        <f>COMBIN(A2051,D2051)/COMBIN(A2051-B2051,D2051)</f>
        <v/>
      </c>
      <c r="F2051" s="11">
        <f>ROUNDUP(E2051*Controls!$B$4,4)</f>
        <v/>
      </c>
      <c r="G2051" s="12">
        <f>F2051/E2051</f>
        <v/>
      </c>
      <c r="H2051" s="10">
        <f>(A2051-B2051-(D2051-1))/(A2051-(D2051-1))</f>
        <v/>
      </c>
      <c r="I2051" s="9">
        <f>A2051&amp;'x'&amp;B2051</f>
        <v/>
      </c>
      <c r="J2051" s="9">
        <f>IF(AND(G2051&gt;0.9,G2051&lt;1),"OK","CHECK")</f>
        <v/>
      </c>
    </row>
    <row r="2052">
      <c r="A2052" s="9" t="n">
        <v>49</v>
      </c>
      <c r="B2052" s="9" t="n">
        <v>28</v>
      </c>
      <c r="C2052" s="9" t="n">
        <v>21</v>
      </c>
      <c r="D2052" s="9" t="n">
        <v>18</v>
      </c>
      <c r="E2052" s="10">
        <f>COMBIN(A2052,D2052)/COMBIN(A2052-B2052,D2052)</f>
        <v/>
      </c>
      <c r="F2052" s="11">
        <f>ROUNDUP(E2052*Controls!$B$4,4)</f>
        <v/>
      </c>
      <c r="G2052" s="12">
        <f>F2052/E2052</f>
        <v/>
      </c>
      <c r="H2052" s="10">
        <f>(A2052-B2052-(D2052-1))/(A2052-(D2052-1))</f>
        <v/>
      </c>
      <c r="I2052" s="9">
        <f>A2052&amp;'x'&amp;B2052</f>
        <v/>
      </c>
      <c r="J2052" s="9">
        <f>IF(AND(G2052&gt;0.9,G2052&lt;1),"OK","CHECK")</f>
        <v/>
      </c>
    </row>
    <row r="2053">
      <c r="A2053" s="9" t="n">
        <v>49</v>
      </c>
      <c r="B2053" s="9" t="n">
        <v>28</v>
      </c>
      <c r="C2053" s="9" t="n">
        <v>21</v>
      </c>
      <c r="D2053" s="9" t="n">
        <v>19</v>
      </c>
      <c r="E2053" s="10">
        <f>COMBIN(A2053,D2053)/COMBIN(A2053-B2053,D2053)</f>
        <v/>
      </c>
      <c r="F2053" s="11">
        <f>ROUNDUP(E2053*Controls!$B$4,4)</f>
        <v/>
      </c>
      <c r="G2053" s="12">
        <f>F2053/E2053</f>
        <v/>
      </c>
      <c r="H2053" s="10">
        <f>(A2053-B2053-(D2053-1))/(A2053-(D2053-1))</f>
        <v/>
      </c>
      <c r="I2053" s="9">
        <f>A2053&amp;'x'&amp;B2053</f>
        <v/>
      </c>
      <c r="J2053" s="9">
        <f>IF(AND(G2053&gt;0.9,G2053&lt;1),"OK","CHECK")</f>
        <v/>
      </c>
    </row>
    <row r="2054">
      <c r="A2054" s="9" t="n">
        <v>49</v>
      </c>
      <c r="B2054" s="9" t="n">
        <v>28</v>
      </c>
      <c r="C2054" s="9" t="n">
        <v>21</v>
      </c>
      <c r="D2054" s="9" t="n">
        <v>20</v>
      </c>
      <c r="E2054" s="10">
        <f>COMBIN(A2054,D2054)/COMBIN(A2054-B2054,D2054)</f>
        <v/>
      </c>
      <c r="F2054" s="11">
        <f>ROUNDUP(E2054*Controls!$B$4,4)</f>
        <v/>
      </c>
      <c r="G2054" s="12">
        <f>F2054/E2054</f>
        <v/>
      </c>
      <c r="H2054" s="10">
        <f>(A2054-B2054-(D2054-1))/(A2054-(D2054-1))</f>
        <v/>
      </c>
      <c r="I2054" s="9">
        <f>A2054&amp;'x'&amp;B2054</f>
        <v/>
      </c>
      <c r="J2054" s="9">
        <f>IF(AND(G2054&gt;0.9,G2054&lt;1),"OK","CHECK")</f>
        <v/>
      </c>
    </row>
    <row r="2055">
      <c r="A2055" s="9" t="n">
        <v>49</v>
      </c>
      <c r="B2055" s="9" t="n">
        <v>28</v>
      </c>
      <c r="C2055" s="9" t="n">
        <v>21</v>
      </c>
      <c r="D2055" s="9" t="n">
        <v>21</v>
      </c>
      <c r="E2055" s="10">
        <f>COMBIN(A2055,D2055)/COMBIN(A2055-B2055,D2055)</f>
        <v/>
      </c>
      <c r="F2055" s="11">
        <f>ROUNDUP(E2055*Controls!$B$4,4)</f>
        <v/>
      </c>
      <c r="G2055" s="12">
        <f>F2055/E2055</f>
        <v/>
      </c>
      <c r="H2055" s="10">
        <f>(A2055-B2055-(D2055-1))/(A2055-(D2055-1))</f>
        <v/>
      </c>
      <c r="I2055" s="9">
        <f>A2055&amp;'x'&amp;B2055</f>
        <v/>
      </c>
      <c r="J2055" s="9">
        <f>IF(AND(G2055&gt;0.9,G2055&lt;1),"OK","CHECK")</f>
        <v/>
      </c>
    </row>
    <row r="2056">
      <c r="A2056" s="9" t="n">
        <v>49</v>
      </c>
      <c r="B2056" s="9" t="n">
        <v>29</v>
      </c>
      <c r="C2056" s="9" t="n">
        <v>20</v>
      </c>
      <c r="D2056" s="9" t="n">
        <v>1</v>
      </c>
      <c r="E2056" s="10">
        <f>COMBIN(A2056,D2056)/COMBIN(A2056-B2056,D2056)</f>
        <v/>
      </c>
      <c r="F2056" s="11">
        <f>ROUNDUP(E2056*Controls!$B$4,4)</f>
        <v/>
      </c>
      <c r="G2056" s="12">
        <f>F2056/E2056</f>
        <v/>
      </c>
      <c r="H2056" s="10">
        <f>(A2056-B2056-(D2056-1))/(A2056-(D2056-1))</f>
        <v/>
      </c>
      <c r="I2056" s="9">
        <f>A2056&amp;'x'&amp;B2056</f>
        <v/>
      </c>
      <c r="J2056" s="9">
        <f>IF(AND(G2056&gt;0.9,G2056&lt;1),"OK","CHECK")</f>
        <v/>
      </c>
    </row>
    <row r="2057">
      <c r="A2057" s="9" t="n">
        <v>49</v>
      </c>
      <c r="B2057" s="9" t="n">
        <v>29</v>
      </c>
      <c r="C2057" s="9" t="n">
        <v>20</v>
      </c>
      <c r="D2057" s="9" t="n">
        <v>2</v>
      </c>
      <c r="E2057" s="10">
        <f>COMBIN(A2057,D2057)/COMBIN(A2057-B2057,D2057)</f>
        <v/>
      </c>
      <c r="F2057" s="11">
        <f>ROUNDUP(E2057*Controls!$B$4,4)</f>
        <v/>
      </c>
      <c r="G2057" s="12">
        <f>F2057/E2057</f>
        <v/>
      </c>
      <c r="H2057" s="10">
        <f>(A2057-B2057-(D2057-1))/(A2057-(D2057-1))</f>
        <v/>
      </c>
      <c r="I2057" s="9">
        <f>A2057&amp;'x'&amp;B2057</f>
        <v/>
      </c>
      <c r="J2057" s="9">
        <f>IF(AND(G2057&gt;0.9,G2057&lt;1),"OK","CHECK")</f>
        <v/>
      </c>
    </row>
    <row r="2058">
      <c r="A2058" s="9" t="n">
        <v>49</v>
      </c>
      <c r="B2058" s="9" t="n">
        <v>29</v>
      </c>
      <c r="C2058" s="9" t="n">
        <v>20</v>
      </c>
      <c r="D2058" s="9" t="n">
        <v>3</v>
      </c>
      <c r="E2058" s="10">
        <f>COMBIN(A2058,D2058)/COMBIN(A2058-B2058,D2058)</f>
        <v/>
      </c>
      <c r="F2058" s="11">
        <f>ROUNDUP(E2058*Controls!$B$4,4)</f>
        <v/>
      </c>
      <c r="G2058" s="12">
        <f>F2058/E2058</f>
        <v/>
      </c>
      <c r="H2058" s="10">
        <f>(A2058-B2058-(D2058-1))/(A2058-(D2058-1))</f>
        <v/>
      </c>
      <c r="I2058" s="9">
        <f>A2058&amp;'x'&amp;B2058</f>
        <v/>
      </c>
      <c r="J2058" s="9">
        <f>IF(AND(G2058&gt;0.9,G2058&lt;1),"OK","CHECK")</f>
        <v/>
      </c>
    </row>
    <row r="2059">
      <c r="A2059" s="9" t="n">
        <v>49</v>
      </c>
      <c r="B2059" s="9" t="n">
        <v>29</v>
      </c>
      <c r="C2059" s="9" t="n">
        <v>20</v>
      </c>
      <c r="D2059" s="9" t="n">
        <v>4</v>
      </c>
      <c r="E2059" s="10">
        <f>COMBIN(A2059,D2059)/COMBIN(A2059-B2059,D2059)</f>
        <v/>
      </c>
      <c r="F2059" s="11">
        <f>ROUNDUP(E2059*Controls!$B$4,4)</f>
        <v/>
      </c>
      <c r="G2059" s="12">
        <f>F2059/E2059</f>
        <v/>
      </c>
      <c r="H2059" s="10">
        <f>(A2059-B2059-(D2059-1))/(A2059-(D2059-1))</f>
        <v/>
      </c>
      <c r="I2059" s="9">
        <f>A2059&amp;'x'&amp;B2059</f>
        <v/>
      </c>
      <c r="J2059" s="9">
        <f>IF(AND(G2059&gt;0.9,G2059&lt;1),"OK","CHECK")</f>
        <v/>
      </c>
    </row>
    <row r="2060">
      <c r="A2060" s="9" t="n">
        <v>49</v>
      </c>
      <c r="B2060" s="9" t="n">
        <v>29</v>
      </c>
      <c r="C2060" s="9" t="n">
        <v>20</v>
      </c>
      <c r="D2060" s="9" t="n">
        <v>5</v>
      </c>
      <c r="E2060" s="10">
        <f>COMBIN(A2060,D2060)/COMBIN(A2060-B2060,D2060)</f>
        <v/>
      </c>
      <c r="F2060" s="11">
        <f>ROUNDUP(E2060*Controls!$B$4,4)</f>
        <v/>
      </c>
      <c r="G2060" s="12">
        <f>F2060/E2060</f>
        <v/>
      </c>
      <c r="H2060" s="10">
        <f>(A2060-B2060-(D2060-1))/(A2060-(D2060-1))</f>
        <v/>
      </c>
      <c r="I2060" s="9">
        <f>A2060&amp;'x'&amp;B2060</f>
        <v/>
      </c>
      <c r="J2060" s="9">
        <f>IF(AND(G2060&gt;0.9,G2060&lt;1),"OK","CHECK")</f>
        <v/>
      </c>
    </row>
    <row r="2061">
      <c r="A2061" s="9" t="n">
        <v>49</v>
      </c>
      <c r="B2061" s="9" t="n">
        <v>29</v>
      </c>
      <c r="C2061" s="9" t="n">
        <v>20</v>
      </c>
      <c r="D2061" s="9" t="n">
        <v>6</v>
      </c>
      <c r="E2061" s="10">
        <f>COMBIN(A2061,D2061)/COMBIN(A2061-B2061,D2061)</f>
        <v/>
      </c>
      <c r="F2061" s="11">
        <f>ROUNDUP(E2061*Controls!$B$4,4)</f>
        <v/>
      </c>
      <c r="G2061" s="12">
        <f>F2061/E2061</f>
        <v/>
      </c>
      <c r="H2061" s="10">
        <f>(A2061-B2061-(D2061-1))/(A2061-(D2061-1))</f>
        <v/>
      </c>
      <c r="I2061" s="9">
        <f>A2061&amp;'x'&amp;B2061</f>
        <v/>
      </c>
      <c r="J2061" s="9">
        <f>IF(AND(G2061&gt;0.9,G2061&lt;1),"OK","CHECK")</f>
        <v/>
      </c>
    </row>
    <row r="2062">
      <c r="A2062" s="9" t="n">
        <v>49</v>
      </c>
      <c r="B2062" s="9" t="n">
        <v>29</v>
      </c>
      <c r="C2062" s="9" t="n">
        <v>20</v>
      </c>
      <c r="D2062" s="9" t="n">
        <v>7</v>
      </c>
      <c r="E2062" s="10">
        <f>COMBIN(A2062,D2062)/COMBIN(A2062-B2062,D2062)</f>
        <v/>
      </c>
      <c r="F2062" s="11">
        <f>ROUNDUP(E2062*Controls!$B$4,4)</f>
        <v/>
      </c>
      <c r="G2062" s="12">
        <f>F2062/E2062</f>
        <v/>
      </c>
      <c r="H2062" s="10">
        <f>(A2062-B2062-(D2062-1))/(A2062-(D2062-1))</f>
        <v/>
      </c>
      <c r="I2062" s="9">
        <f>A2062&amp;'x'&amp;B2062</f>
        <v/>
      </c>
      <c r="J2062" s="9">
        <f>IF(AND(G2062&gt;0.9,G2062&lt;1),"OK","CHECK")</f>
        <v/>
      </c>
    </row>
    <row r="2063">
      <c r="A2063" s="9" t="n">
        <v>49</v>
      </c>
      <c r="B2063" s="9" t="n">
        <v>29</v>
      </c>
      <c r="C2063" s="9" t="n">
        <v>20</v>
      </c>
      <c r="D2063" s="9" t="n">
        <v>8</v>
      </c>
      <c r="E2063" s="10">
        <f>COMBIN(A2063,D2063)/COMBIN(A2063-B2063,D2063)</f>
        <v/>
      </c>
      <c r="F2063" s="11">
        <f>ROUNDUP(E2063*Controls!$B$4,4)</f>
        <v/>
      </c>
      <c r="G2063" s="12">
        <f>F2063/E2063</f>
        <v/>
      </c>
      <c r="H2063" s="10">
        <f>(A2063-B2063-(D2063-1))/(A2063-(D2063-1))</f>
        <v/>
      </c>
      <c r="I2063" s="9">
        <f>A2063&amp;'x'&amp;B2063</f>
        <v/>
      </c>
      <c r="J2063" s="9">
        <f>IF(AND(G2063&gt;0.9,G2063&lt;1),"OK","CHECK")</f>
        <v/>
      </c>
    </row>
    <row r="2064">
      <c r="A2064" s="9" t="n">
        <v>49</v>
      </c>
      <c r="B2064" s="9" t="n">
        <v>29</v>
      </c>
      <c r="C2064" s="9" t="n">
        <v>20</v>
      </c>
      <c r="D2064" s="9" t="n">
        <v>9</v>
      </c>
      <c r="E2064" s="10">
        <f>COMBIN(A2064,D2064)/COMBIN(A2064-B2064,D2064)</f>
        <v/>
      </c>
      <c r="F2064" s="11">
        <f>ROUNDUP(E2064*Controls!$B$4,4)</f>
        <v/>
      </c>
      <c r="G2064" s="12">
        <f>F2064/E2064</f>
        <v/>
      </c>
      <c r="H2064" s="10">
        <f>(A2064-B2064-(D2064-1))/(A2064-(D2064-1))</f>
        <v/>
      </c>
      <c r="I2064" s="9">
        <f>A2064&amp;'x'&amp;B2064</f>
        <v/>
      </c>
      <c r="J2064" s="9">
        <f>IF(AND(G2064&gt;0.9,G2064&lt;1),"OK","CHECK")</f>
        <v/>
      </c>
    </row>
    <row r="2065">
      <c r="A2065" s="9" t="n">
        <v>49</v>
      </c>
      <c r="B2065" s="9" t="n">
        <v>29</v>
      </c>
      <c r="C2065" s="9" t="n">
        <v>20</v>
      </c>
      <c r="D2065" s="9" t="n">
        <v>10</v>
      </c>
      <c r="E2065" s="10">
        <f>COMBIN(A2065,D2065)/COMBIN(A2065-B2065,D2065)</f>
        <v/>
      </c>
      <c r="F2065" s="11">
        <f>ROUNDUP(E2065*Controls!$B$4,4)</f>
        <v/>
      </c>
      <c r="G2065" s="12">
        <f>F2065/E2065</f>
        <v/>
      </c>
      <c r="H2065" s="10">
        <f>(A2065-B2065-(D2065-1))/(A2065-(D2065-1))</f>
        <v/>
      </c>
      <c r="I2065" s="9">
        <f>A2065&amp;'x'&amp;B2065</f>
        <v/>
      </c>
      <c r="J2065" s="9">
        <f>IF(AND(G2065&gt;0.9,G2065&lt;1),"OK","CHECK")</f>
        <v/>
      </c>
    </row>
    <row r="2066">
      <c r="A2066" s="9" t="n">
        <v>49</v>
      </c>
      <c r="B2066" s="9" t="n">
        <v>29</v>
      </c>
      <c r="C2066" s="9" t="n">
        <v>20</v>
      </c>
      <c r="D2066" s="9" t="n">
        <v>11</v>
      </c>
      <c r="E2066" s="10">
        <f>COMBIN(A2066,D2066)/COMBIN(A2066-B2066,D2066)</f>
        <v/>
      </c>
      <c r="F2066" s="11">
        <f>ROUNDUP(E2066*Controls!$B$4,4)</f>
        <v/>
      </c>
      <c r="G2066" s="12">
        <f>F2066/E2066</f>
        <v/>
      </c>
      <c r="H2066" s="10">
        <f>(A2066-B2066-(D2066-1))/(A2066-(D2066-1))</f>
        <v/>
      </c>
      <c r="I2066" s="9">
        <f>A2066&amp;'x'&amp;B2066</f>
        <v/>
      </c>
      <c r="J2066" s="9">
        <f>IF(AND(G2066&gt;0.9,G2066&lt;1),"OK","CHECK")</f>
        <v/>
      </c>
    </row>
    <row r="2067">
      <c r="A2067" s="9" t="n">
        <v>49</v>
      </c>
      <c r="B2067" s="9" t="n">
        <v>29</v>
      </c>
      <c r="C2067" s="9" t="n">
        <v>20</v>
      </c>
      <c r="D2067" s="9" t="n">
        <v>12</v>
      </c>
      <c r="E2067" s="10">
        <f>COMBIN(A2067,D2067)/COMBIN(A2067-B2067,D2067)</f>
        <v/>
      </c>
      <c r="F2067" s="11">
        <f>ROUNDUP(E2067*Controls!$B$4,4)</f>
        <v/>
      </c>
      <c r="G2067" s="12">
        <f>F2067/E2067</f>
        <v/>
      </c>
      <c r="H2067" s="10">
        <f>(A2067-B2067-(D2067-1))/(A2067-(D2067-1))</f>
        <v/>
      </c>
      <c r="I2067" s="9">
        <f>A2067&amp;'x'&amp;B2067</f>
        <v/>
      </c>
      <c r="J2067" s="9">
        <f>IF(AND(G2067&gt;0.9,G2067&lt;1),"OK","CHECK")</f>
        <v/>
      </c>
    </row>
    <row r="2068">
      <c r="A2068" s="9" t="n">
        <v>49</v>
      </c>
      <c r="B2068" s="9" t="n">
        <v>29</v>
      </c>
      <c r="C2068" s="9" t="n">
        <v>20</v>
      </c>
      <c r="D2068" s="9" t="n">
        <v>13</v>
      </c>
      <c r="E2068" s="10">
        <f>COMBIN(A2068,D2068)/COMBIN(A2068-B2068,D2068)</f>
        <v/>
      </c>
      <c r="F2068" s="11">
        <f>ROUNDUP(E2068*Controls!$B$4,4)</f>
        <v/>
      </c>
      <c r="G2068" s="12">
        <f>F2068/E2068</f>
        <v/>
      </c>
      <c r="H2068" s="10">
        <f>(A2068-B2068-(D2068-1))/(A2068-(D2068-1))</f>
        <v/>
      </c>
      <c r="I2068" s="9">
        <f>A2068&amp;'x'&amp;B2068</f>
        <v/>
      </c>
      <c r="J2068" s="9">
        <f>IF(AND(G2068&gt;0.9,G2068&lt;1),"OK","CHECK")</f>
        <v/>
      </c>
    </row>
    <row r="2069">
      <c r="A2069" s="9" t="n">
        <v>49</v>
      </c>
      <c r="B2069" s="9" t="n">
        <v>29</v>
      </c>
      <c r="C2069" s="9" t="n">
        <v>20</v>
      </c>
      <c r="D2069" s="9" t="n">
        <v>14</v>
      </c>
      <c r="E2069" s="10">
        <f>COMBIN(A2069,D2069)/COMBIN(A2069-B2069,D2069)</f>
        <v/>
      </c>
      <c r="F2069" s="11">
        <f>ROUNDUP(E2069*Controls!$B$4,4)</f>
        <v/>
      </c>
      <c r="G2069" s="12">
        <f>F2069/E2069</f>
        <v/>
      </c>
      <c r="H2069" s="10">
        <f>(A2069-B2069-(D2069-1))/(A2069-(D2069-1))</f>
        <v/>
      </c>
      <c r="I2069" s="9">
        <f>A2069&amp;'x'&amp;B2069</f>
        <v/>
      </c>
      <c r="J2069" s="9">
        <f>IF(AND(G2069&gt;0.9,G2069&lt;1),"OK","CHECK")</f>
        <v/>
      </c>
    </row>
    <row r="2070">
      <c r="A2070" s="9" t="n">
        <v>49</v>
      </c>
      <c r="B2070" s="9" t="n">
        <v>29</v>
      </c>
      <c r="C2070" s="9" t="n">
        <v>20</v>
      </c>
      <c r="D2070" s="9" t="n">
        <v>15</v>
      </c>
      <c r="E2070" s="10">
        <f>COMBIN(A2070,D2070)/COMBIN(A2070-B2070,D2070)</f>
        <v/>
      </c>
      <c r="F2070" s="11">
        <f>ROUNDUP(E2070*Controls!$B$4,4)</f>
        <v/>
      </c>
      <c r="G2070" s="12">
        <f>F2070/E2070</f>
        <v/>
      </c>
      <c r="H2070" s="10">
        <f>(A2070-B2070-(D2070-1))/(A2070-(D2070-1))</f>
        <v/>
      </c>
      <c r="I2070" s="9">
        <f>A2070&amp;'x'&amp;B2070</f>
        <v/>
      </c>
      <c r="J2070" s="9">
        <f>IF(AND(G2070&gt;0.9,G2070&lt;1),"OK","CHECK")</f>
        <v/>
      </c>
    </row>
    <row r="2071">
      <c r="A2071" s="9" t="n">
        <v>49</v>
      </c>
      <c r="B2071" s="9" t="n">
        <v>29</v>
      </c>
      <c r="C2071" s="9" t="n">
        <v>20</v>
      </c>
      <c r="D2071" s="9" t="n">
        <v>16</v>
      </c>
      <c r="E2071" s="10">
        <f>COMBIN(A2071,D2071)/COMBIN(A2071-B2071,D2071)</f>
        <v/>
      </c>
      <c r="F2071" s="11">
        <f>ROUNDUP(E2071*Controls!$B$4,4)</f>
        <v/>
      </c>
      <c r="G2071" s="12">
        <f>F2071/E2071</f>
        <v/>
      </c>
      <c r="H2071" s="10">
        <f>(A2071-B2071-(D2071-1))/(A2071-(D2071-1))</f>
        <v/>
      </c>
      <c r="I2071" s="9">
        <f>A2071&amp;'x'&amp;B2071</f>
        <v/>
      </c>
      <c r="J2071" s="9">
        <f>IF(AND(G2071&gt;0.9,G2071&lt;1),"OK","CHECK")</f>
        <v/>
      </c>
    </row>
    <row r="2072">
      <c r="A2072" s="9" t="n">
        <v>49</v>
      </c>
      <c r="B2072" s="9" t="n">
        <v>29</v>
      </c>
      <c r="C2072" s="9" t="n">
        <v>20</v>
      </c>
      <c r="D2072" s="9" t="n">
        <v>17</v>
      </c>
      <c r="E2072" s="10">
        <f>COMBIN(A2072,D2072)/COMBIN(A2072-B2072,D2072)</f>
        <v/>
      </c>
      <c r="F2072" s="11">
        <f>ROUNDUP(E2072*Controls!$B$4,4)</f>
        <v/>
      </c>
      <c r="G2072" s="12">
        <f>F2072/E2072</f>
        <v/>
      </c>
      <c r="H2072" s="10">
        <f>(A2072-B2072-(D2072-1))/(A2072-(D2072-1))</f>
        <v/>
      </c>
      <c r="I2072" s="9">
        <f>A2072&amp;'x'&amp;B2072</f>
        <v/>
      </c>
      <c r="J2072" s="9">
        <f>IF(AND(G2072&gt;0.9,G2072&lt;1),"OK","CHECK")</f>
        <v/>
      </c>
    </row>
    <row r="2073">
      <c r="A2073" s="9" t="n">
        <v>49</v>
      </c>
      <c r="B2073" s="9" t="n">
        <v>29</v>
      </c>
      <c r="C2073" s="9" t="n">
        <v>20</v>
      </c>
      <c r="D2073" s="9" t="n">
        <v>18</v>
      </c>
      <c r="E2073" s="10">
        <f>COMBIN(A2073,D2073)/COMBIN(A2073-B2073,D2073)</f>
        <v/>
      </c>
      <c r="F2073" s="11">
        <f>ROUNDUP(E2073*Controls!$B$4,4)</f>
        <v/>
      </c>
      <c r="G2073" s="12">
        <f>F2073/E2073</f>
        <v/>
      </c>
      <c r="H2073" s="10">
        <f>(A2073-B2073-(D2073-1))/(A2073-(D2073-1))</f>
        <v/>
      </c>
      <c r="I2073" s="9">
        <f>A2073&amp;'x'&amp;B2073</f>
        <v/>
      </c>
      <c r="J2073" s="9">
        <f>IF(AND(G2073&gt;0.9,G2073&lt;1),"OK","CHECK")</f>
        <v/>
      </c>
    </row>
    <row r="2074">
      <c r="A2074" s="9" t="n">
        <v>49</v>
      </c>
      <c r="B2074" s="9" t="n">
        <v>29</v>
      </c>
      <c r="C2074" s="9" t="n">
        <v>20</v>
      </c>
      <c r="D2074" s="9" t="n">
        <v>19</v>
      </c>
      <c r="E2074" s="10">
        <f>COMBIN(A2074,D2074)/COMBIN(A2074-B2074,D2074)</f>
        <v/>
      </c>
      <c r="F2074" s="11">
        <f>ROUNDUP(E2074*Controls!$B$4,4)</f>
        <v/>
      </c>
      <c r="G2074" s="12">
        <f>F2074/E2074</f>
        <v/>
      </c>
      <c r="H2074" s="10">
        <f>(A2074-B2074-(D2074-1))/(A2074-(D2074-1))</f>
        <v/>
      </c>
      <c r="I2074" s="9">
        <f>A2074&amp;'x'&amp;B2074</f>
        <v/>
      </c>
      <c r="J2074" s="9">
        <f>IF(AND(G2074&gt;0.9,G2074&lt;1),"OK","CHECK")</f>
        <v/>
      </c>
    </row>
    <row r="2075">
      <c r="A2075" s="9" t="n">
        <v>49</v>
      </c>
      <c r="B2075" s="9" t="n">
        <v>29</v>
      </c>
      <c r="C2075" s="9" t="n">
        <v>20</v>
      </c>
      <c r="D2075" s="9" t="n">
        <v>20</v>
      </c>
      <c r="E2075" s="10">
        <f>COMBIN(A2075,D2075)/COMBIN(A2075-B2075,D2075)</f>
        <v/>
      </c>
      <c r="F2075" s="11">
        <f>ROUNDUP(E2075*Controls!$B$4,4)</f>
        <v/>
      </c>
      <c r="G2075" s="12">
        <f>F2075/E2075</f>
        <v/>
      </c>
      <c r="H2075" s="10">
        <f>(A2075-B2075-(D2075-1))/(A2075-(D2075-1))</f>
        <v/>
      </c>
      <c r="I2075" s="9">
        <f>A2075&amp;'x'&amp;B2075</f>
        <v/>
      </c>
      <c r="J2075" s="9">
        <f>IF(AND(G2075&gt;0.9,G2075&lt;1),"OK","CHECK")</f>
        <v/>
      </c>
    </row>
    <row r="2076">
      <c r="A2076" s="9" t="n">
        <v>49</v>
      </c>
      <c r="B2076" s="9" t="n">
        <v>30</v>
      </c>
      <c r="C2076" s="9" t="n">
        <v>19</v>
      </c>
      <c r="D2076" s="9" t="n">
        <v>1</v>
      </c>
      <c r="E2076" s="10">
        <f>COMBIN(A2076,D2076)/COMBIN(A2076-B2076,D2076)</f>
        <v/>
      </c>
      <c r="F2076" s="11">
        <f>ROUNDUP(E2076*Controls!$B$4,4)</f>
        <v/>
      </c>
      <c r="G2076" s="12">
        <f>F2076/E2076</f>
        <v/>
      </c>
      <c r="H2076" s="10">
        <f>(A2076-B2076-(D2076-1))/(A2076-(D2076-1))</f>
        <v/>
      </c>
      <c r="I2076" s="9">
        <f>A2076&amp;'x'&amp;B2076</f>
        <v/>
      </c>
      <c r="J2076" s="9">
        <f>IF(AND(G2076&gt;0.9,G2076&lt;1),"OK","CHECK")</f>
        <v/>
      </c>
    </row>
    <row r="2077">
      <c r="A2077" s="9" t="n">
        <v>49</v>
      </c>
      <c r="B2077" s="9" t="n">
        <v>30</v>
      </c>
      <c r="C2077" s="9" t="n">
        <v>19</v>
      </c>
      <c r="D2077" s="9" t="n">
        <v>2</v>
      </c>
      <c r="E2077" s="10">
        <f>COMBIN(A2077,D2077)/COMBIN(A2077-B2077,D2077)</f>
        <v/>
      </c>
      <c r="F2077" s="11">
        <f>ROUNDUP(E2077*Controls!$B$4,4)</f>
        <v/>
      </c>
      <c r="G2077" s="12">
        <f>F2077/E2077</f>
        <v/>
      </c>
      <c r="H2077" s="10">
        <f>(A2077-B2077-(D2077-1))/(A2077-(D2077-1))</f>
        <v/>
      </c>
      <c r="I2077" s="9">
        <f>A2077&amp;'x'&amp;B2077</f>
        <v/>
      </c>
      <c r="J2077" s="9">
        <f>IF(AND(G2077&gt;0.9,G2077&lt;1),"OK","CHECK")</f>
        <v/>
      </c>
    </row>
    <row r="2078">
      <c r="A2078" s="9" t="n">
        <v>49</v>
      </c>
      <c r="B2078" s="9" t="n">
        <v>30</v>
      </c>
      <c r="C2078" s="9" t="n">
        <v>19</v>
      </c>
      <c r="D2078" s="9" t="n">
        <v>3</v>
      </c>
      <c r="E2078" s="10">
        <f>COMBIN(A2078,D2078)/COMBIN(A2078-B2078,D2078)</f>
        <v/>
      </c>
      <c r="F2078" s="11">
        <f>ROUNDUP(E2078*Controls!$B$4,4)</f>
        <v/>
      </c>
      <c r="G2078" s="12">
        <f>F2078/E2078</f>
        <v/>
      </c>
      <c r="H2078" s="10">
        <f>(A2078-B2078-(D2078-1))/(A2078-(D2078-1))</f>
        <v/>
      </c>
      <c r="I2078" s="9">
        <f>A2078&amp;'x'&amp;B2078</f>
        <v/>
      </c>
      <c r="J2078" s="9">
        <f>IF(AND(G2078&gt;0.9,G2078&lt;1),"OK","CHECK")</f>
        <v/>
      </c>
    </row>
    <row r="2079">
      <c r="A2079" s="9" t="n">
        <v>49</v>
      </c>
      <c r="B2079" s="9" t="n">
        <v>30</v>
      </c>
      <c r="C2079" s="9" t="n">
        <v>19</v>
      </c>
      <c r="D2079" s="9" t="n">
        <v>4</v>
      </c>
      <c r="E2079" s="10">
        <f>COMBIN(A2079,D2079)/COMBIN(A2079-B2079,D2079)</f>
        <v/>
      </c>
      <c r="F2079" s="11">
        <f>ROUNDUP(E2079*Controls!$B$4,4)</f>
        <v/>
      </c>
      <c r="G2079" s="12">
        <f>F2079/E2079</f>
        <v/>
      </c>
      <c r="H2079" s="10">
        <f>(A2079-B2079-(D2079-1))/(A2079-(D2079-1))</f>
        <v/>
      </c>
      <c r="I2079" s="9">
        <f>A2079&amp;'x'&amp;B2079</f>
        <v/>
      </c>
      <c r="J2079" s="9">
        <f>IF(AND(G2079&gt;0.9,G2079&lt;1),"OK","CHECK")</f>
        <v/>
      </c>
    </row>
    <row r="2080">
      <c r="A2080" s="9" t="n">
        <v>49</v>
      </c>
      <c r="B2080" s="9" t="n">
        <v>30</v>
      </c>
      <c r="C2080" s="9" t="n">
        <v>19</v>
      </c>
      <c r="D2080" s="9" t="n">
        <v>5</v>
      </c>
      <c r="E2080" s="10">
        <f>COMBIN(A2080,D2080)/COMBIN(A2080-B2080,D2080)</f>
        <v/>
      </c>
      <c r="F2080" s="11">
        <f>ROUNDUP(E2080*Controls!$B$4,4)</f>
        <v/>
      </c>
      <c r="G2080" s="12">
        <f>F2080/E2080</f>
        <v/>
      </c>
      <c r="H2080" s="10">
        <f>(A2080-B2080-(D2080-1))/(A2080-(D2080-1))</f>
        <v/>
      </c>
      <c r="I2080" s="9">
        <f>A2080&amp;'x'&amp;B2080</f>
        <v/>
      </c>
      <c r="J2080" s="9">
        <f>IF(AND(G2080&gt;0.9,G2080&lt;1),"OK","CHECK")</f>
        <v/>
      </c>
    </row>
    <row r="2081">
      <c r="A2081" s="9" t="n">
        <v>49</v>
      </c>
      <c r="B2081" s="9" t="n">
        <v>30</v>
      </c>
      <c r="C2081" s="9" t="n">
        <v>19</v>
      </c>
      <c r="D2081" s="9" t="n">
        <v>6</v>
      </c>
      <c r="E2081" s="10">
        <f>COMBIN(A2081,D2081)/COMBIN(A2081-B2081,D2081)</f>
        <v/>
      </c>
      <c r="F2081" s="11">
        <f>ROUNDUP(E2081*Controls!$B$4,4)</f>
        <v/>
      </c>
      <c r="G2081" s="12">
        <f>F2081/E2081</f>
        <v/>
      </c>
      <c r="H2081" s="10">
        <f>(A2081-B2081-(D2081-1))/(A2081-(D2081-1))</f>
        <v/>
      </c>
      <c r="I2081" s="9">
        <f>A2081&amp;'x'&amp;B2081</f>
        <v/>
      </c>
      <c r="J2081" s="9">
        <f>IF(AND(G2081&gt;0.9,G2081&lt;1),"OK","CHECK")</f>
        <v/>
      </c>
    </row>
    <row r="2082">
      <c r="A2082" s="9" t="n">
        <v>49</v>
      </c>
      <c r="B2082" s="9" t="n">
        <v>30</v>
      </c>
      <c r="C2082" s="9" t="n">
        <v>19</v>
      </c>
      <c r="D2082" s="9" t="n">
        <v>7</v>
      </c>
      <c r="E2082" s="10">
        <f>COMBIN(A2082,D2082)/COMBIN(A2082-B2082,D2082)</f>
        <v/>
      </c>
      <c r="F2082" s="11">
        <f>ROUNDUP(E2082*Controls!$B$4,4)</f>
        <v/>
      </c>
      <c r="G2082" s="12">
        <f>F2082/E2082</f>
        <v/>
      </c>
      <c r="H2082" s="10">
        <f>(A2082-B2082-(D2082-1))/(A2082-(D2082-1))</f>
        <v/>
      </c>
      <c r="I2082" s="9">
        <f>A2082&amp;'x'&amp;B2082</f>
        <v/>
      </c>
      <c r="J2082" s="9">
        <f>IF(AND(G2082&gt;0.9,G2082&lt;1),"OK","CHECK")</f>
        <v/>
      </c>
    </row>
    <row r="2083">
      <c r="A2083" s="9" t="n">
        <v>49</v>
      </c>
      <c r="B2083" s="9" t="n">
        <v>30</v>
      </c>
      <c r="C2083" s="9" t="n">
        <v>19</v>
      </c>
      <c r="D2083" s="9" t="n">
        <v>8</v>
      </c>
      <c r="E2083" s="10">
        <f>COMBIN(A2083,D2083)/COMBIN(A2083-B2083,D2083)</f>
        <v/>
      </c>
      <c r="F2083" s="11">
        <f>ROUNDUP(E2083*Controls!$B$4,4)</f>
        <v/>
      </c>
      <c r="G2083" s="12">
        <f>F2083/E2083</f>
        <v/>
      </c>
      <c r="H2083" s="10">
        <f>(A2083-B2083-(D2083-1))/(A2083-(D2083-1))</f>
        <v/>
      </c>
      <c r="I2083" s="9">
        <f>A2083&amp;'x'&amp;B2083</f>
        <v/>
      </c>
      <c r="J2083" s="9">
        <f>IF(AND(G2083&gt;0.9,G2083&lt;1),"OK","CHECK")</f>
        <v/>
      </c>
    </row>
    <row r="2084">
      <c r="A2084" s="9" t="n">
        <v>49</v>
      </c>
      <c r="B2084" s="9" t="n">
        <v>30</v>
      </c>
      <c r="C2084" s="9" t="n">
        <v>19</v>
      </c>
      <c r="D2084" s="9" t="n">
        <v>9</v>
      </c>
      <c r="E2084" s="10">
        <f>COMBIN(A2084,D2084)/COMBIN(A2084-B2084,D2084)</f>
        <v/>
      </c>
      <c r="F2084" s="11">
        <f>ROUNDUP(E2084*Controls!$B$4,4)</f>
        <v/>
      </c>
      <c r="G2084" s="12">
        <f>F2084/E2084</f>
        <v/>
      </c>
      <c r="H2084" s="10">
        <f>(A2084-B2084-(D2084-1))/(A2084-(D2084-1))</f>
        <v/>
      </c>
      <c r="I2084" s="9">
        <f>A2084&amp;'x'&amp;B2084</f>
        <v/>
      </c>
      <c r="J2084" s="9">
        <f>IF(AND(G2084&gt;0.9,G2084&lt;1),"OK","CHECK")</f>
        <v/>
      </c>
    </row>
    <row r="2085">
      <c r="A2085" s="9" t="n">
        <v>49</v>
      </c>
      <c r="B2085" s="9" t="n">
        <v>30</v>
      </c>
      <c r="C2085" s="9" t="n">
        <v>19</v>
      </c>
      <c r="D2085" s="9" t="n">
        <v>10</v>
      </c>
      <c r="E2085" s="10">
        <f>COMBIN(A2085,D2085)/COMBIN(A2085-B2085,D2085)</f>
        <v/>
      </c>
      <c r="F2085" s="11">
        <f>ROUNDUP(E2085*Controls!$B$4,4)</f>
        <v/>
      </c>
      <c r="G2085" s="12">
        <f>F2085/E2085</f>
        <v/>
      </c>
      <c r="H2085" s="10">
        <f>(A2085-B2085-(D2085-1))/(A2085-(D2085-1))</f>
        <v/>
      </c>
      <c r="I2085" s="9">
        <f>A2085&amp;'x'&amp;B2085</f>
        <v/>
      </c>
      <c r="J2085" s="9">
        <f>IF(AND(G2085&gt;0.9,G2085&lt;1),"OK","CHECK")</f>
        <v/>
      </c>
    </row>
    <row r="2086">
      <c r="A2086" s="9" t="n">
        <v>49</v>
      </c>
      <c r="B2086" s="9" t="n">
        <v>30</v>
      </c>
      <c r="C2086" s="9" t="n">
        <v>19</v>
      </c>
      <c r="D2086" s="9" t="n">
        <v>11</v>
      </c>
      <c r="E2086" s="10">
        <f>COMBIN(A2086,D2086)/COMBIN(A2086-B2086,D2086)</f>
        <v/>
      </c>
      <c r="F2086" s="11">
        <f>ROUNDUP(E2086*Controls!$B$4,4)</f>
        <v/>
      </c>
      <c r="G2086" s="12">
        <f>F2086/E2086</f>
        <v/>
      </c>
      <c r="H2086" s="10">
        <f>(A2086-B2086-(D2086-1))/(A2086-(D2086-1))</f>
        <v/>
      </c>
      <c r="I2086" s="9">
        <f>A2086&amp;'x'&amp;B2086</f>
        <v/>
      </c>
      <c r="J2086" s="9">
        <f>IF(AND(G2086&gt;0.9,G2086&lt;1),"OK","CHECK")</f>
        <v/>
      </c>
    </row>
    <row r="2087">
      <c r="A2087" s="9" t="n">
        <v>49</v>
      </c>
      <c r="B2087" s="9" t="n">
        <v>30</v>
      </c>
      <c r="C2087" s="9" t="n">
        <v>19</v>
      </c>
      <c r="D2087" s="9" t="n">
        <v>12</v>
      </c>
      <c r="E2087" s="10">
        <f>COMBIN(A2087,D2087)/COMBIN(A2087-B2087,D2087)</f>
        <v/>
      </c>
      <c r="F2087" s="11">
        <f>ROUNDUP(E2087*Controls!$B$4,4)</f>
        <v/>
      </c>
      <c r="G2087" s="12">
        <f>F2087/E2087</f>
        <v/>
      </c>
      <c r="H2087" s="10">
        <f>(A2087-B2087-(D2087-1))/(A2087-(D2087-1))</f>
        <v/>
      </c>
      <c r="I2087" s="9">
        <f>A2087&amp;'x'&amp;B2087</f>
        <v/>
      </c>
      <c r="J2087" s="9">
        <f>IF(AND(G2087&gt;0.9,G2087&lt;1),"OK","CHECK")</f>
        <v/>
      </c>
    </row>
    <row r="2088">
      <c r="A2088" s="9" t="n">
        <v>49</v>
      </c>
      <c r="B2088" s="9" t="n">
        <v>30</v>
      </c>
      <c r="C2088" s="9" t="n">
        <v>19</v>
      </c>
      <c r="D2088" s="9" t="n">
        <v>13</v>
      </c>
      <c r="E2088" s="10">
        <f>COMBIN(A2088,D2088)/COMBIN(A2088-B2088,D2088)</f>
        <v/>
      </c>
      <c r="F2088" s="11">
        <f>ROUNDUP(E2088*Controls!$B$4,4)</f>
        <v/>
      </c>
      <c r="G2088" s="12">
        <f>F2088/E2088</f>
        <v/>
      </c>
      <c r="H2088" s="10">
        <f>(A2088-B2088-(D2088-1))/(A2088-(D2088-1))</f>
        <v/>
      </c>
      <c r="I2088" s="9">
        <f>A2088&amp;'x'&amp;B2088</f>
        <v/>
      </c>
      <c r="J2088" s="9">
        <f>IF(AND(G2088&gt;0.9,G2088&lt;1),"OK","CHECK")</f>
        <v/>
      </c>
    </row>
    <row r="2089">
      <c r="A2089" s="9" t="n">
        <v>49</v>
      </c>
      <c r="B2089" s="9" t="n">
        <v>30</v>
      </c>
      <c r="C2089" s="9" t="n">
        <v>19</v>
      </c>
      <c r="D2089" s="9" t="n">
        <v>14</v>
      </c>
      <c r="E2089" s="10">
        <f>COMBIN(A2089,D2089)/COMBIN(A2089-B2089,D2089)</f>
        <v/>
      </c>
      <c r="F2089" s="11">
        <f>ROUNDUP(E2089*Controls!$B$4,4)</f>
        <v/>
      </c>
      <c r="G2089" s="12">
        <f>F2089/E2089</f>
        <v/>
      </c>
      <c r="H2089" s="10">
        <f>(A2089-B2089-(D2089-1))/(A2089-(D2089-1))</f>
        <v/>
      </c>
      <c r="I2089" s="9">
        <f>A2089&amp;'x'&amp;B2089</f>
        <v/>
      </c>
      <c r="J2089" s="9">
        <f>IF(AND(G2089&gt;0.9,G2089&lt;1),"OK","CHECK")</f>
        <v/>
      </c>
    </row>
    <row r="2090">
      <c r="A2090" s="9" t="n">
        <v>49</v>
      </c>
      <c r="B2090" s="9" t="n">
        <v>30</v>
      </c>
      <c r="C2090" s="9" t="n">
        <v>19</v>
      </c>
      <c r="D2090" s="9" t="n">
        <v>15</v>
      </c>
      <c r="E2090" s="10">
        <f>COMBIN(A2090,D2090)/COMBIN(A2090-B2090,D2090)</f>
        <v/>
      </c>
      <c r="F2090" s="11">
        <f>ROUNDUP(E2090*Controls!$B$4,4)</f>
        <v/>
      </c>
      <c r="G2090" s="12">
        <f>F2090/E2090</f>
        <v/>
      </c>
      <c r="H2090" s="10">
        <f>(A2090-B2090-(D2090-1))/(A2090-(D2090-1))</f>
        <v/>
      </c>
      <c r="I2090" s="9">
        <f>A2090&amp;'x'&amp;B2090</f>
        <v/>
      </c>
      <c r="J2090" s="9">
        <f>IF(AND(G2090&gt;0.9,G2090&lt;1),"OK","CHECK")</f>
        <v/>
      </c>
    </row>
    <row r="2091">
      <c r="A2091" s="9" t="n">
        <v>49</v>
      </c>
      <c r="B2091" s="9" t="n">
        <v>30</v>
      </c>
      <c r="C2091" s="9" t="n">
        <v>19</v>
      </c>
      <c r="D2091" s="9" t="n">
        <v>16</v>
      </c>
      <c r="E2091" s="10">
        <f>COMBIN(A2091,D2091)/COMBIN(A2091-B2091,D2091)</f>
        <v/>
      </c>
      <c r="F2091" s="11">
        <f>ROUNDUP(E2091*Controls!$B$4,4)</f>
        <v/>
      </c>
      <c r="G2091" s="12">
        <f>F2091/E2091</f>
        <v/>
      </c>
      <c r="H2091" s="10">
        <f>(A2091-B2091-(D2091-1))/(A2091-(D2091-1))</f>
        <v/>
      </c>
      <c r="I2091" s="9">
        <f>A2091&amp;'x'&amp;B2091</f>
        <v/>
      </c>
      <c r="J2091" s="9">
        <f>IF(AND(G2091&gt;0.9,G2091&lt;1),"OK","CHECK")</f>
        <v/>
      </c>
    </row>
    <row r="2092">
      <c r="A2092" s="9" t="n">
        <v>49</v>
      </c>
      <c r="B2092" s="9" t="n">
        <v>30</v>
      </c>
      <c r="C2092" s="9" t="n">
        <v>19</v>
      </c>
      <c r="D2092" s="9" t="n">
        <v>17</v>
      </c>
      <c r="E2092" s="10">
        <f>COMBIN(A2092,D2092)/COMBIN(A2092-B2092,D2092)</f>
        <v/>
      </c>
      <c r="F2092" s="11">
        <f>ROUNDUP(E2092*Controls!$B$4,4)</f>
        <v/>
      </c>
      <c r="G2092" s="12">
        <f>F2092/E2092</f>
        <v/>
      </c>
      <c r="H2092" s="10">
        <f>(A2092-B2092-(D2092-1))/(A2092-(D2092-1))</f>
        <v/>
      </c>
      <c r="I2092" s="9">
        <f>A2092&amp;'x'&amp;B2092</f>
        <v/>
      </c>
      <c r="J2092" s="9">
        <f>IF(AND(G2092&gt;0.9,G2092&lt;1),"OK","CHECK")</f>
        <v/>
      </c>
    </row>
    <row r="2093">
      <c r="A2093" s="9" t="n">
        <v>49</v>
      </c>
      <c r="B2093" s="9" t="n">
        <v>30</v>
      </c>
      <c r="C2093" s="9" t="n">
        <v>19</v>
      </c>
      <c r="D2093" s="9" t="n">
        <v>18</v>
      </c>
      <c r="E2093" s="10">
        <f>COMBIN(A2093,D2093)/COMBIN(A2093-B2093,D2093)</f>
        <v/>
      </c>
      <c r="F2093" s="11">
        <f>ROUNDUP(E2093*Controls!$B$4,4)</f>
        <v/>
      </c>
      <c r="G2093" s="12">
        <f>F2093/E2093</f>
        <v/>
      </c>
      <c r="H2093" s="10">
        <f>(A2093-B2093-(D2093-1))/(A2093-(D2093-1))</f>
        <v/>
      </c>
      <c r="I2093" s="9">
        <f>A2093&amp;'x'&amp;B2093</f>
        <v/>
      </c>
      <c r="J2093" s="9">
        <f>IF(AND(G2093&gt;0.9,G2093&lt;1),"OK","CHECK")</f>
        <v/>
      </c>
    </row>
    <row r="2094">
      <c r="A2094" s="9" t="n">
        <v>49</v>
      </c>
      <c r="B2094" s="9" t="n">
        <v>30</v>
      </c>
      <c r="C2094" s="9" t="n">
        <v>19</v>
      </c>
      <c r="D2094" s="9" t="n">
        <v>19</v>
      </c>
      <c r="E2094" s="10">
        <f>COMBIN(A2094,D2094)/COMBIN(A2094-B2094,D2094)</f>
        <v/>
      </c>
      <c r="F2094" s="11">
        <f>ROUNDUP(E2094*Controls!$B$4,4)</f>
        <v/>
      </c>
      <c r="G2094" s="12">
        <f>F2094/E2094</f>
        <v/>
      </c>
      <c r="H2094" s="10">
        <f>(A2094-B2094-(D2094-1))/(A2094-(D2094-1))</f>
        <v/>
      </c>
      <c r="I2094" s="9">
        <f>A2094&amp;'x'&amp;B2094</f>
        <v/>
      </c>
      <c r="J2094" s="9">
        <f>IF(AND(G2094&gt;0.9,G2094&lt;1),"OK","CHECK")</f>
        <v/>
      </c>
    </row>
    <row r="2095">
      <c r="A2095" s="9" t="n">
        <v>49</v>
      </c>
      <c r="B2095" s="9" t="n">
        <v>31</v>
      </c>
      <c r="C2095" s="9" t="n">
        <v>18</v>
      </c>
      <c r="D2095" s="9" t="n">
        <v>1</v>
      </c>
      <c r="E2095" s="10">
        <f>COMBIN(A2095,D2095)/COMBIN(A2095-B2095,D2095)</f>
        <v/>
      </c>
      <c r="F2095" s="11">
        <f>ROUNDUP(E2095*Controls!$B$4,4)</f>
        <v/>
      </c>
      <c r="G2095" s="12">
        <f>F2095/E2095</f>
        <v/>
      </c>
      <c r="H2095" s="10">
        <f>(A2095-B2095-(D2095-1))/(A2095-(D2095-1))</f>
        <v/>
      </c>
      <c r="I2095" s="9">
        <f>A2095&amp;'x'&amp;B2095</f>
        <v/>
      </c>
      <c r="J2095" s="9">
        <f>IF(AND(G2095&gt;0.9,G2095&lt;1),"OK","CHECK")</f>
        <v/>
      </c>
    </row>
    <row r="2096">
      <c r="A2096" s="9" t="n">
        <v>49</v>
      </c>
      <c r="B2096" s="9" t="n">
        <v>31</v>
      </c>
      <c r="C2096" s="9" t="n">
        <v>18</v>
      </c>
      <c r="D2096" s="9" t="n">
        <v>2</v>
      </c>
      <c r="E2096" s="10">
        <f>COMBIN(A2096,D2096)/COMBIN(A2096-B2096,D2096)</f>
        <v/>
      </c>
      <c r="F2096" s="11">
        <f>ROUNDUP(E2096*Controls!$B$4,4)</f>
        <v/>
      </c>
      <c r="G2096" s="12">
        <f>F2096/E2096</f>
        <v/>
      </c>
      <c r="H2096" s="10">
        <f>(A2096-B2096-(D2096-1))/(A2096-(D2096-1))</f>
        <v/>
      </c>
      <c r="I2096" s="9">
        <f>A2096&amp;'x'&amp;B2096</f>
        <v/>
      </c>
      <c r="J2096" s="9">
        <f>IF(AND(G2096&gt;0.9,G2096&lt;1),"OK","CHECK")</f>
        <v/>
      </c>
    </row>
    <row r="2097">
      <c r="A2097" s="9" t="n">
        <v>49</v>
      </c>
      <c r="B2097" s="9" t="n">
        <v>31</v>
      </c>
      <c r="C2097" s="9" t="n">
        <v>18</v>
      </c>
      <c r="D2097" s="9" t="n">
        <v>3</v>
      </c>
      <c r="E2097" s="10">
        <f>COMBIN(A2097,D2097)/COMBIN(A2097-B2097,D2097)</f>
        <v/>
      </c>
      <c r="F2097" s="11">
        <f>ROUNDUP(E2097*Controls!$B$4,4)</f>
        <v/>
      </c>
      <c r="G2097" s="12">
        <f>F2097/E2097</f>
        <v/>
      </c>
      <c r="H2097" s="10">
        <f>(A2097-B2097-(D2097-1))/(A2097-(D2097-1))</f>
        <v/>
      </c>
      <c r="I2097" s="9">
        <f>A2097&amp;'x'&amp;B2097</f>
        <v/>
      </c>
      <c r="J2097" s="9">
        <f>IF(AND(G2097&gt;0.9,G2097&lt;1),"OK","CHECK")</f>
        <v/>
      </c>
    </row>
    <row r="2098">
      <c r="A2098" s="9" t="n">
        <v>49</v>
      </c>
      <c r="B2098" s="9" t="n">
        <v>31</v>
      </c>
      <c r="C2098" s="9" t="n">
        <v>18</v>
      </c>
      <c r="D2098" s="9" t="n">
        <v>4</v>
      </c>
      <c r="E2098" s="10">
        <f>COMBIN(A2098,D2098)/COMBIN(A2098-B2098,D2098)</f>
        <v/>
      </c>
      <c r="F2098" s="11">
        <f>ROUNDUP(E2098*Controls!$B$4,4)</f>
        <v/>
      </c>
      <c r="G2098" s="12">
        <f>F2098/E2098</f>
        <v/>
      </c>
      <c r="H2098" s="10">
        <f>(A2098-B2098-(D2098-1))/(A2098-(D2098-1))</f>
        <v/>
      </c>
      <c r="I2098" s="9">
        <f>A2098&amp;'x'&amp;B2098</f>
        <v/>
      </c>
      <c r="J2098" s="9">
        <f>IF(AND(G2098&gt;0.9,G2098&lt;1),"OK","CHECK")</f>
        <v/>
      </c>
    </row>
    <row r="2099">
      <c r="A2099" s="9" t="n">
        <v>49</v>
      </c>
      <c r="B2099" s="9" t="n">
        <v>31</v>
      </c>
      <c r="C2099" s="9" t="n">
        <v>18</v>
      </c>
      <c r="D2099" s="9" t="n">
        <v>5</v>
      </c>
      <c r="E2099" s="10">
        <f>COMBIN(A2099,D2099)/COMBIN(A2099-B2099,D2099)</f>
        <v/>
      </c>
      <c r="F2099" s="11">
        <f>ROUNDUP(E2099*Controls!$B$4,4)</f>
        <v/>
      </c>
      <c r="G2099" s="12">
        <f>F2099/E2099</f>
        <v/>
      </c>
      <c r="H2099" s="10">
        <f>(A2099-B2099-(D2099-1))/(A2099-(D2099-1))</f>
        <v/>
      </c>
      <c r="I2099" s="9">
        <f>A2099&amp;'x'&amp;B2099</f>
        <v/>
      </c>
      <c r="J2099" s="9">
        <f>IF(AND(G2099&gt;0.9,G2099&lt;1),"OK","CHECK")</f>
        <v/>
      </c>
    </row>
    <row r="2100">
      <c r="A2100" s="9" t="n">
        <v>49</v>
      </c>
      <c r="B2100" s="9" t="n">
        <v>31</v>
      </c>
      <c r="C2100" s="9" t="n">
        <v>18</v>
      </c>
      <c r="D2100" s="9" t="n">
        <v>6</v>
      </c>
      <c r="E2100" s="10">
        <f>COMBIN(A2100,D2100)/COMBIN(A2100-B2100,D2100)</f>
        <v/>
      </c>
      <c r="F2100" s="11">
        <f>ROUNDUP(E2100*Controls!$B$4,4)</f>
        <v/>
      </c>
      <c r="G2100" s="12">
        <f>F2100/E2100</f>
        <v/>
      </c>
      <c r="H2100" s="10">
        <f>(A2100-B2100-(D2100-1))/(A2100-(D2100-1))</f>
        <v/>
      </c>
      <c r="I2100" s="9">
        <f>A2100&amp;'x'&amp;B2100</f>
        <v/>
      </c>
      <c r="J2100" s="9">
        <f>IF(AND(G2100&gt;0.9,G2100&lt;1),"OK","CHECK")</f>
        <v/>
      </c>
    </row>
    <row r="2101">
      <c r="A2101" s="9" t="n">
        <v>49</v>
      </c>
      <c r="B2101" s="9" t="n">
        <v>31</v>
      </c>
      <c r="C2101" s="9" t="n">
        <v>18</v>
      </c>
      <c r="D2101" s="9" t="n">
        <v>7</v>
      </c>
      <c r="E2101" s="10">
        <f>COMBIN(A2101,D2101)/COMBIN(A2101-B2101,D2101)</f>
        <v/>
      </c>
      <c r="F2101" s="11">
        <f>ROUNDUP(E2101*Controls!$B$4,4)</f>
        <v/>
      </c>
      <c r="G2101" s="12">
        <f>F2101/E2101</f>
        <v/>
      </c>
      <c r="H2101" s="10">
        <f>(A2101-B2101-(D2101-1))/(A2101-(D2101-1))</f>
        <v/>
      </c>
      <c r="I2101" s="9">
        <f>A2101&amp;'x'&amp;B2101</f>
        <v/>
      </c>
      <c r="J2101" s="9">
        <f>IF(AND(G2101&gt;0.9,G2101&lt;1),"OK","CHECK")</f>
        <v/>
      </c>
    </row>
    <row r="2102">
      <c r="A2102" s="9" t="n">
        <v>49</v>
      </c>
      <c r="B2102" s="9" t="n">
        <v>31</v>
      </c>
      <c r="C2102" s="9" t="n">
        <v>18</v>
      </c>
      <c r="D2102" s="9" t="n">
        <v>8</v>
      </c>
      <c r="E2102" s="10">
        <f>COMBIN(A2102,D2102)/COMBIN(A2102-B2102,D2102)</f>
        <v/>
      </c>
      <c r="F2102" s="11">
        <f>ROUNDUP(E2102*Controls!$B$4,4)</f>
        <v/>
      </c>
      <c r="G2102" s="12">
        <f>F2102/E2102</f>
        <v/>
      </c>
      <c r="H2102" s="10">
        <f>(A2102-B2102-(D2102-1))/(A2102-(D2102-1))</f>
        <v/>
      </c>
      <c r="I2102" s="9">
        <f>A2102&amp;'x'&amp;B2102</f>
        <v/>
      </c>
      <c r="J2102" s="9">
        <f>IF(AND(G2102&gt;0.9,G2102&lt;1),"OK","CHECK")</f>
        <v/>
      </c>
    </row>
    <row r="2103">
      <c r="A2103" s="9" t="n">
        <v>49</v>
      </c>
      <c r="B2103" s="9" t="n">
        <v>31</v>
      </c>
      <c r="C2103" s="9" t="n">
        <v>18</v>
      </c>
      <c r="D2103" s="9" t="n">
        <v>9</v>
      </c>
      <c r="E2103" s="10">
        <f>COMBIN(A2103,D2103)/COMBIN(A2103-B2103,D2103)</f>
        <v/>
      </c>
      <c r="F2103" s="11">
        <f>ROUNDUP(E2103*Controls!$B$4,4)</f>
        <v/>
      </c>
      <c r="G2103" s="12">
        <f>F2103/E2103</f>
        <v/>
      </c>
      <c r="H2103" s="10">
        <f>(A2103-B2103-(D2103-1))/(A2103-(D2103-1))</f>
        <v/>
      </c>
      <c r="I2103" s="9">
        <f>A2103&amp;'x'&amp;B2103</f>
        <v/>
      </c>
      <c r="J2103" s="9">
        <f>IF(AND(G2103&gt;0.9,G2103&lt;1),"OK","CHECK")</f>
        <v/>
      </c>
    </row>
    <row r="2104">
      <c r="A2104" s="9" t="n">
        <v>49</v>
      </c>
      <c r="B2104" s="9" t="n">
        <v>31</v>
      </c>
      <c r="C2104" s="9" t="n">
        <v>18</v>
      </c>
      <c r="D2104" s="9" t="n">
        <v>10</v>
      </c>
      <c r="E2104" s="10">
        <f>COMBIN(A2104,D2104)/COMBIN(A2104-B2104,D2104)</f>
        <v/>
      </c>
      <c r="F2104" s="11">
        <f>ROUNDUP(E2104*Controls!$B$4,4)</f>
        <v/>
      </c>
      <c r="G2104" s="12">
        <f>F2104/E2104</f>
        <v/>
      </c>
      <c r="H2104" s="10">
        <f>(A2104-B2104-(D2104-1))/(A2104-(D2104-1))</f>
        <v/>
      </c>
      <c r="I2104" s="9">
        <f>A2104&amp;'x'&amp;B2104</f>
        <v/>
      </c>
      <c r="J2104" s="9">
        <f>IF(AND(G2104&gt;0.9,G2104&lt;1),"OK","CHECK")</f>
        <v/>
      </c>
    </row>
    <row r="2105">
      <c r="A2105" s="9" t="n">
        <v>49</v>
      </c>
      <c r="B2105" s="9" t="n">
        <v>31</v>
      </c>
      <c r="C2105" s="9" t="n">
        <v>18</v>
      </c>
      <c r="D2105" s="9" t="n">
        <v>11</v>
      </c>
      <c r="E2105" s="10">
        <f>COMBIN(A2105,D2105)/COMBIN(A2105-B2105,D2105)</f>
        <v/>
      </c>
      <c r="F2105" s="11">
        <f>ROUNDUP(E2105*Controls!$B$4,4)</f>
        <v/>
      </c>
      <c r="G2105" s="12">
        <f>F2105/E2105</f>
        <v/>
      </c>
      <c r="H2105" s="10">
        <f>(A2105-B2105-(D2105-1))/(A2105-(D2105-1))</f>
        <v/>
      </c>
      <c r="I2105" s="9">
        <f>A2105&amp;'x'&amp;B2105</f>
        <v/>
      </c>
      <c r="J2105" s="9">
        <f>IF(AND(G2105&gt;0.9,G2105&lt;1),"OK","CHECK")</f>
        <v/>
      </c>
    </row>
    <row r="2106">
      <c r="A2106" s="9" t="n">
        <v>49</v>
      </c>
      <c r="B2106" s="9" t="n">
        <v>31</v>
      </c>
      <c r="C2106" s="9" t="n">
        <v>18</v>
      </c>
      <c r="D2106" s="9" t="n">
        <v>12</v>
      </c>
      <c r="E2106" s="10">
        <f>COMBIN(A2106,D2106)/COMBIN(A2106-B2106,D2106)</f>
        <v/>
      </c>
      <c r="F2106" s="11">
        <f>ROUNDUP(E2106*Controls!$B$4,4)</f>
        <v/>
      </c>
      <c r="G2106" s="12">
        <f>F2106/E2106</f>
        <v/>
      </c>
      <c r="H2106" s="10">
        <f>(A2106-B2106-(D2106-1))/(A2106-(D2106-1))</f>
        <v/>
      </c>
      <c r="I2106" s="9">
        <f>A2106&amp;'x'&amp;B2106</f>
        <v/>
      </c>
      <c r="J2106" s="9">
        <f>IF(AND(G2106&gt;0.9,G2106&lt;1),"OK","CHECK")</f>
        <v/>
      </c>
    </row>
    <row r="2107">
      <c r="A2107" s="9" t="n">
        <v>49</v>
      </c>
      <c r="B2107" s="9" t="n">
        <v>31</v>
      </c>
      <c r="C2107" s="9" t="n">
        <v>18</v>
      </c>
      <c r="D2107" s="9" t="n">
        <v>13</v>
      </c>
      <c r="E2107" s="10">
        <f>COMBIN(A2107,D2107)/COMBIN(A2107-B2107,D2107)</f>
        <v/>
      </c>
      <c r="F2107" s="11">
        <f>ROUNDUP(E2107*Controls!$B$4,4)</f>
        <v/>
      </c>
      <c r="G2107" s="12">
        <f>F2107/E2107</f>
        <v/>
      </c>
      <c r="H2107" s="10">
        <f>(A2107-B2107-(D2107-1))/(A2107-(D2107-1))</f>
        <v/>
      </c>
      <c r="I2107" s="9">
        <f>A2107&amp;'x'&amp;B2107</f>
        <v/>
      </c>
      <c r="J2107" s="9">
        <f>IF(AND(G2107&gt;0.9,G2107&lt;1),"OK","CHECK")</f>
        <v/>
      </c>
    </row>
    <row r="2108">
      <c r="A2108" s="9" t="n">
        <v>49</v>
      </c>
      <c r="B2108" s="9" t="n">
        <v>31</v>
      </c>
      <c r="C2108" s="9" t="n">
        <v>18</v>
      </c>
      <c r="D2108" s="9" t="n">
        <v>14</v>
      </c>
      <c r="E2108" s="10">
        <f>COMBIN(A2108,D2108)/COMBIN(A2108-B2108,D2108)</f>
        <v/>
      </c>
      <c r="F2108" s="11">
        <f>ROUNDUP(E2108*Controls!$B$4,4)</f>
        <v/>
      </c>
      <c r="G2108" s="12">
        <f>F2108/E2108</f>
        <v/>
      </c>
      <c r="H2108" s="10">
        <f>(A2108-B2108-(D2108-1))/(A2108-(D2108-1))</f>
        <v/>
      </c>
      <c r="I2108" s="9">
        <f>A2108&amp;'x'&amp;B2108</f>
        <v/>
      </c>
      <c r="J2108" s="9">
        <f>IF(AND(G2108&gt;0.9,G2108&lt;1),"OK","CHECK")</f>
        <v/>
      </c>
    </row>
    <row r="2109">
      <c r="A2109" s="9" t="n">
        <v>49</v>
      </c>
      <c r="B2109" s="9" t="n">
        <v>31</v>
      </c>
      <c r="C2109" s="9" t="n">
        <v>18</v>
      </c>
      <c r="D2109" s="9" t="n">
        <v>15</v>
      </c>
      <c r="E2109" s="10">
        <f>COMBIN(A2109,D2109)/COMBIN(A2109-B2109,D2109)</f>
        <v/>
      </c>
      <c r="F2109" s="11">
        <f>ROUNDUP(E2109*Controls!$B$4,4)</f>
        <v/>
      </c>
      <c r="G2109" s="12">
        <f>F2109/E2109</f>
        <v/>
      </c>
      <c r="H2109" s="10">
        <f>(A2109-B2109-(D2109-1))/(A2109-(D2109-1))</f>
        <v/>
      </c>
      <c r="I2109" s="9">
        <f>A2109&amp;'x'&amp;B2109</f>
        <v/>
      </c>
      <c r="J2109" s="9">
        <f>IF(AND(G2109&gt;0.9,G2109&lt;1),"OK","CHECK")</f>
        <v/>
      </c>
    </row>
    <row r="2110">
      <c r="A2110" s="9" t="n">
        <v>49</v>
      </c>
      <c r="B2110" s="9" t="n">
        <v>31</v>
      </c>
      <c r="C2110" s="9" t="n">
        <v>18</v>
      </c>
      <c r="D2110" s="9" t="n">
        <v>16</v>
      </c>
      <c r="E2110" s="10">
        <f>COMBIN(A2110,D2110)/COMBIN(A2110-B2110,D2110)</f>
        <v/>
      </c>
      <c r="F2110" s="11">
        <f>ROUNDUP(E2110*Controls!$B$4,4)</f>
        <v/>
      </c>
      <c r="G2110" s="12">
        <f>F2110/E2110</f>
        <v/>
      </c>
      <c r="H2110" s="10">
        <f>(A2110-B2110-(D2110-1))/(A2110-(D2110-1))</f>
        <v/>
      </c>
      <c r="I2110" s="9">
        <f>A2110&amp;'x'&amp;B2110</f>
        <v/>
      </c>
      <c r="J2110" s="9">
        <f>IF(AND(G2110&gt;0.9,G2110&lt;1),"OK","CHECK")</f>
        <v/>
      </c>
    </row>
    <row r="2111">
      <c r="A2111" s="9" t="n">
        <v>49</v>
      </c>
      <c r="B2111" s="9" t="n">
        <v>31</v>
      </c>
      <c r="C2111" s="9" t="n">
        <v>18</v>
      </c>
      <c r="D2111" s="9" t="n">
        <v>17</v>
      </c>
      <c r="E2111" s="10">
        <f>COMBIN(A2111,D2111)/COMBIN(A2111-B2111,D2111)</f>
        <v/>
      </c>
      <c r="F2111" s="11">
        <f>ROUNDUP(E2111*Controls!$B$4,4)</f>
        <v/>
      </c>
      <c r="G2111" s="12">
        <f>F2111/E2111</f>
        <v/>
      </c>
      <c r="H2111" s="10">
        <f>(A2111-B2111-(D2111-1))/(A2111-(D2111-1))</f>
        <v/>
      </c>
      <c r="I2111" s="9">
        <f>A2111&amp;'x'&amp;B2111</f>
        <v/>
      </c>
      <c r="J2111" s="9">
        <f>IF(AND(G2111&gt;0.9,G2111&lt;1),"OK","CHECK")</f>
        <v/>
      </c>
    </row>
    <row r="2112">
      <c r="A2112" s="9" t="n">
        <v>49</v>
      </c>
      <c r="B2112" s="9" t="n">
        <v>31</v>
      </c>
      <c r="C2112" s="9" t="n">
        <v>18</v>
      </c>
      <c r="D2112" s="9" t="n">
        <v>18</v>
      </c>
      <c r="E2112" s="10">
        <f>COMBIN(A2112,D2112)/COMBIN(A2112-B2112,D2112)</f>
        <v/>
      </c>
      <c r="F2112" s="11">
        <f>ROUNDUP(E2112*Controls!$B$4,4)</f>
        <v/>
      </c>
      <c r="G2112" s="12">
        <f>F2112/E2112</f>
        <v/>
      </c>
      <c r="H2112" s="10">
        <f>(A2112-B2112-(D2112-1))/(A2112-(D2112-1))</f>
        <v/>
      </c>
      <c r="I2112" s="9">
        <f>A2112&amp;'x'&amp;B2112</f>
        <v/>
      </c>
      <c r="J2112" s="9">
        <f>IF(AND(G2112&gt;0.9,G2112&lt;1),"OK","CHECK")</f>
        <v/>
      </c>
    </row>
    <row r="2113">
      <c r="A2113" s="9" t="n">
        <v>49</v>
      </c>
      <c r="B2113" s="9" t="n">
        <v>32</v>
      </c>
      <c r="C2113" s="9" t="n">
        <v>17</v>
      </c>
      <c r="D2113" s="9" t="n">
        <v>1</v>
      </c>
      <c r="E2113" s="10">
        <f>COMBIN(A2113,D2113)/COMBIN(A2113-B2113,D2113)</f>
        <v/>
      </c>
      <c r="F2113" s="11">
        <f>ROUNDUP(E2113*Controls!$B$4,4)</f>
        <v/>
      </c>
      <c r="G2113" s="12">
        <f>F2113/E2113</f>
        <v/>
      </c>
      <c r="H2113" s="10">
        <f>(A2113-B2113-(D2113-1))/(A2113-(D2113-1))</f>
        <v/>
      </c>
      <c r="I2113" s="9">
        <f>A2113&amp;'x'&amp;B2113</f>
        <v/>
      </c>
      <c r="J2113" s="9">
        <f>IF(AND(G2113&gt;0.9,G2113&lt;1),"OK","CHECK")</f>
        <v/>
      </c>
    </row>
    <row r="2114">
      <c r="A2114" s="9" t="n">
        <v>49</v>
      </c>
      <c r="B2114" s="9" t="n">
        <v>32</v>
      </c>
      <c r="C2114" s="9" t="n">
        <v>17</v>
      </c>
      <c r="D2114" s="9" t="n">
        <v>2</v>
      </c>
      <c r="E2114" s="10">
        <f>COMBIN(A2114,D2114)/COMBIN(A2114-B2114,D2114)</f>
        <v/>
      </c>
      <c r="F2114" s="11">
        <f>ROUNDUP(E2114*Controls!$B$4,4)</f>
        <v/>
      </c>
      <c r="G2114" s="12">
        <f>F2114/E2114</f>
        <v/>
      </c>
      <c r="H2114" s="10">
        <f>(A2114-B2114-(D2114-1))/(A2114-(D2114-1))</f>
        <v/>
      </c>
      <c r="I2114" s="9">
        <f>A2114&amp;'x'&amp;B2114</f>
        <v/>
      </c>
      <c r="J2114" s="9">
        <f>IF(AND(G2114&gt;0.9,G2114&lt;1),"OK","CHECK")</f>
        <v/>
      </c>
    </row>
    <row r="2115">
      <c r="A2115" s="9" t="n">
        <v>49</v>
      </c>
      <c r="B2115" s="9" t="n">
        <v>32</v>
      </c>
      <c r="C2115" s="9" t="n">
        <v>17</v>
      </c>
      <c r="D2115" s="9" t="n">
        <v>3</v>
      </c>
      <c r="E2115" s="10">
        <f>COMBIN(A2115,D2115)/COMBIN(A2115-B2115,D2115)</f>
        <v/>
      </c>
      <c r="F2115" s="11">
        <f>ROUNDUP(E2115*Controls!$B$4,4)</f>
        <v/>
      </c>
      <c r="G2115" s="12">
        <f>F2115/E2115</f>
        <v/>
      </c>
      <c r="H2115" s="10">
        <f>(A2115-B2115-(D2115-1))/(A2115-(D2115-1))</f>
        <v/>
      </c>
      <c r="I2115" s="9">
        <f>A2115&amp;'x'&amp;B2115</f>
        <v/>
      </c>
      <c r="J2115" s="9">
        <f>IF(AND(G2115&gt;0.9,G2115&lt;1),"OK","CHECK")</f>
        <v/>
      </c>
    </row>
    <row r="2116">
      <c r="A2116" s="9" t="n">
        <v>49</v>
      </c>
      <c r="B2116" s="9" t="n">
        <v>32</v>
      </c>
      <c r="C2116" s="9" t="n">
        <v>17</v>
      </c>
      <c r="D2116" s="9" t="n">
        <v>4</v>
      </c>
      <c r="E2116" s="10">
        <f>COMBIN(A2116,D2116)/COMBIN(A2116-B2116,D2116)</f>
        <v/>
      </c>
      <c r="F2116" s="11">
        <f>ROUNDUP(E2116*Controls!$B$4,4)</f>
        <v/>
      </c>
      <c r="G2116" s="12">
        <f>F2116/E2116</f>
        <v/>
      </c>
      <c r="H2116" s="10">
        <f>(A2116-B2116-(D2116-1))/(A2116-(D2116-1))</f>
        <v/>
      </c>
      <c r="I2116" s="9">
        <f>A2116&amp;'x'&amp;B2116</f>
        <v/>
      </c>
      <c r="J2116" s="9">
        <f>IF(AND(G2116&gt;0.9,G2116&lt;1),"OK","CHECK")</f>
        <v/>
      </c>
    </row>
    <row r="2117">
      <c r="A2117" s="9" t="n">
        <v>49</v>
      </c>
      <c r="B2117" s="9" t="n">
        <v>32</v>
      </c>
      <c r="C2117" s="9" t="n">
        <v>17</v>
      </c>
      <c r="D2117" s="9" t="n">
        <v>5</v>
      </c>
      <c r="E2117" s="10">
        <f>COMBIN(A2117,D2117)/COMBIN(A2117-B2117,D2117)</f>
        <v/>
      </c>
      <c r="F2117" s="11">
        <f>ROUNDUP(E2117*Controls!$B$4,4)</f>
        <v/>
      </c>
      <c r="G2117" s="12">
        <f>F2117/E2117</f>
        <v/>
      </c>
      <c r="H2117" s="10">
        <f>(A2117-B2117-(D2117-1))/(A2117-(D2117-1))</f>
        <v/>
      </c>
      <c r="I2117" s="9">
        <f>A2117&amp;'x'&amp;B2117</f>
        <v/>
      </c>
      <c r="J2117" s="9">
        <f>IF(AND(G2117&gt;0.9,G2117&lt;1),"OK","CHECK")</f>
        <v/>
      </c>
    </row>
    <row r="2118">
      <c r="A2118" s="9" t="n">
        <v>49</v>
      </c>
      <c r="B2118" s="9" t="n">
        <v>32</v>
      </c>
      <c r="C2118" s="9" t="n">
        <v>17</v>
      </c>
      <c r="D2118" s="9" t="n">
        <v>6</v>
      </c>
      <c r="E2118" s="10">
        <f>COMBIN(A2118,D2118)/COMBIN(A2118-B2118,D2118)</f>
        <v/>
      </c>
      <c r="F2118" s="11">
        <f>ROUNDUP(E2118*Controls!$B$4,4)</f>
        <v/>
      </c>
      <c r="G2118" s="12">
        <f>F2118/E2118</f>
        <v/>
      </c>
      <c r="H2118" s="10">
        <f>(A2118-B2118-(D2118-1))/(A2118-(D2118-1))</f>
        <v/>
      </c>
      <c r="I2118" s="9">
        <f>A2118&amp;'x'&amp;B2118</f>
        <v/>
      </c>
      <c r="J2118" s="9">
        <f>IF(AND(G2118&gt;0.9,G2118&lt;1),"OK","CHECK")</f>
        <v/>
      </c>
    </row>
    <row r="2119">
      <c r="A2119" s="9" t="n">
        <v>49</v>
      </c>
      <c r="B2119" s="9" t="n">
        <v>32</v>
      </c>
      <c r="C2119" s="9" t="n">
        <v>17</v>
      </c>
      <c r="D2119" s="9" t="n">
        <v>7</v>
      </c>
      <c r="E2119" s="10">
        <f>COMBIN(A2119,D2119)/COMBIN(A2119-B2119,D2119)</f>
        <v/>
      </c>
      <c r="F2119" s="11">
        <f>ROUNDUP(E2119*Controls!$B$4,4)</f>
        <v/>
      </c>
      <c r="G2119" s="12">
        <f>F2119/E2119</f>
        <v/>
      </c>
      <c r="H2119" s="10">
        <f>(A2119-B2119-(D2119-1))/(A2119-(D2119-1))</f>
        <v/>
      </c>
      <c r="I2119" s="9">
        <f>A2119&amp;'x'&amp;B2119</f>
        <v/>
      </c>
      <c r="J2119" s="9">
        <f>IF(AND(G2119&gt;0.9,G2119&lt;1),"OK","CHECK")</f>
        <v/>
      </c>
    </row>
    <row r="2120">
      <c r="A2120" s="9" t="n">
        <v>49</v>
      </c>
      <c r="B2120" s="9" t="n">
        <v>32</v>
      </c>
      <c r="C2120" s="9" t="n">
        <v>17</v>
      </c>
      <c r="D2120" s="9" t="n">
        <v>8</v>
      </c>
      <c r="E2120" s="10">
        <f>COMBIN(A2120,D2120)/COMBIN(A2120-B2120,D2120)</f>
        <v/>
      </c>
      <c r="F2120" s="11">
        <f>ROUNDUP(E2120*Controls!$B$4,4)</f>
        <v/>
      </c>
      <c r="G2120" s="12">
        <f>F2120/E2120</f>
        <v/>
      </c>
      <c r="H2120" s="10">
        <f>(A2120-B2120-(D2120-1))/(A2120-(D2120-1))</f>
        <v/>
      </c>
      <c r="I2120" s="9">
        <f>A2120&amp;'x'&amp;B2120</f>
        <v/>
      </c>
      <c r="J2120" s="9">
        <f>IF(AND(G2120&gt;0.9,G2120&lt;1),"OK","CHECK")</f>
        <v/>
      </c>
    </row>
    <row r="2121">
      <c r="A2121" s="9" t="n">
        <v>49</v>
      </c>
      <c r="B2121" s="9" t="n">
        <v>32</v>
      </c>
      <c r="C2121" s="9" t="n">
        <v>17</v>
      </c>
      <c r="D2121" s="9" t="n">
        <v>9</v>
      </c>
      <c r="E2121" s="10">
        <f>COMBIN(A2121,D2121)/COMBIN(A2121-B2121,D2121)</f>
        <v/>
      </c>
      <c r="F2121" s="11">
        <f>ROUNDUP(E2121*Controls!$B$4,4)</f>
        <v/>
      </c>
      <c r="G2121" s="12">
        <f>F2121/E2121</f>
        <v/>
      </c>
      <c r="H2121" s="10">
        <f>(A2121-B2121-(D2121-1))/(A2121-(D2121-1))</f>
        <v/>
      </c>
      <c r="I2121" s="9">
        <f>A2121&amp;'x'&amp;B2121</f>
        <v/>
      </c>
      <c r="J2121" s="9">
        <f>IF(AND(G2121&gt;0.9,G2121&lt;1),"OK","CHECK")</f>
        <v/>
      </c>
    </row>
    <row r="2122">
      <c r="A2122" s="9" t="n">
        <v>49</v>
      </c>
      <c r="B2122" s="9" t="n">
        <v>32</v>
      </c>
      <c r="C2122" s="9" t="n">
        <v>17</v>
      </c>
      <c r="D2122" s="9" t="n">
        <v>10</v>
      </c>
      <c r="E2122" s="10">
        <f>COMBIN(A2122,D2122)/COMBIN(A2122-B2122,D2122)</f>
        <v/>
      </c>
      <c r="F2122" s="11">
        <f>ROUNDUP(E2122*Controls!$B$4,4)</f>
        <v/>
      </c>
      <c r="G2122" s="12">
        <f>F2122/E2122</f>
        <v/>
      </c>
      <c r="H2122" s="10">
        <f>(A2122-B2122-(D2122-1))/(A2122-(D2122-1))</f>
        <v/>
      </c>
      <c r="I2122" s="9">
        <f>A2122&amp;'x'&amp;B2122</f>
        <v/>
      </c>
      <c r="J2122" s="9">
        <f>IF(AND(G2122&gt;0.9,G2122&lt;1),"OK","CHECK")</f>
        <v/>
      </c>
    </row>
    <row r="2123">
      <c r="A2123" s="9" t="n">
        <v>49</v>
      </c>
      <c r="B2123" s="9" t="n">
        <v>32</v>
      </c>
      <c r="C2123" s="9" t="n">
        <v>17</v>
      </c>
      <c r="D2123" s="9" t="n">
        <v>11</v>
      </c>
      <c r="E2123" s="10">
        <f>COMBIN(A2123,D2123)/COMBIN(A2123-B2123,D2123)</f>
        <v/>
      </c>
      <c r="F2123" s="11">
        <f>ROUNDUP(E2123*Controls!$B$4,4)</f>
        <v/>
      </c>
      <c r="G2123" s="12">
        <f>F2123/E2123</f>
        <v/>
      </c>
      <c r="H2123" s="10">
        <f>(A2123-B2123-(D2123-1))/(A2123-(D2123-1))</f>
        <v/>
      </c>
      <c r="I2123" s="9">
        <f>A2123&amp;'x'&amp;B2123</f>
        <v/>
      </c>
      <c r="J2123" s="9">
        <f>IF(AND(G2123&gt;0.9,G2123&lt;1),"OK","CHECK")</f>
        <v/>
      </c>
    </row>
    <row r="2124">
      <c r="A2124" s="9" t="n">
        <v>49</v>
      </c>
      <c r="B2124" s="9" t="n">
        <v>32</v>
      </c>
      <c r="C2124" s="9" t="n">
        <v>17</v>
      </c>
      <c r="D2124" s="9" t="n">
        <v>12</v>
      </c>
      <c r="E2124" s="10">
        <f>COMBIN(A2124,D2124)/COMBIN(A2124-B2124,D2124)</f>
        <v/>
      </c>
      <c r="F2124" s="11">
        <f>ROUNDUP(E2124*Controls!$B$4,4)</f>
        <v/>
      </c>
      <c r="G2124" s="12">
        <f>F2124/E2124</f>
        <v/>
      </c>
      <c r="H2124" s="10">
        <f>(A2124-B2124-(D2124-1))/(A2124-(D2124-1))</f>
        <v/>
      </c>
      <c r="I2124" s="9">
        <f>A2124&amp;'x'&amp;B2124</f>
        <v/>
      </c>
      <c r="J2124" s="9">
        <f>IF(AND(G2124&gt;0.9,G2124&lt;1),"OK","CHECK")</f>
        <v/>
      </c>
    </row>
    <row r="2125">
      <c r="A2125" s="9" t="n">
        <v>49</v>
      </c>
      <c r="B2125" s="9" t="n">
        <v>32</v>
      </c>
      <c r="C2125" s="9" t="n">
        <v>17</v>
      </c>
      <c r="D2125" s="9" t="n">
        <v>13</v>
      </c>
      <c r="E2125" s="10">
        <f>COMBIN(A2125,D2125)/COMBIN(A2125-B2125,D2125)</f>
        <v/>
      </c>
      <c r="F2125" s="11">
        <f>ROUNDUP(E2125*Controls!$B$4,4)</f>
        <v/>
      </c>
      <c r="G2125" s="12">
        <f>F2125/E2125</f>
        <v/>
      </c>
      <c r="H2125" s="10">
        <f>(A2125-B2125-(D2125-1))/(A2125-(D2125-1))</f>
        <v/>
      </c>
      <c r="I2125" s="9">
        <f>A2125&amp;'x'&amp;B2125</f>
        <v/>
      </c>
      <c r="J2125" s="9">
        <f>IF(AND(G2125&gt;0.9,G2125&lt;1),"OK","CHECK")</f>
        <v/>
      </c>
    </row>
    <row r="2126">
      <c r="A2126" s="9" t="n">
        <v>49</v>
      </c>
      <c r="B2126" s="9" t="n">
        <v>32</v>
      </c>
      <c r="C2126" s="9" t="n">
        <v>17</v>
      </c>
      <c r="D2126" s="9" t="n">
        <v>14</v>
      </c>
      <c r="E2126" s="10">
        <f>COMBIN(A2126,D2126)/COMBIN(A2126-B2126,D2126)</f>
        <v/>
      </c>
      <c r="F2126" s="11">
        <f>ROUNDUP(E2126*Controls!$B$4,4)</f>
        <v/>
      </c>
      <c r="G2126" s="12">
        <f>F2126/E2126</f>
        <v/>
      </c>
      <c r="H2126" s="10">
        <f>(A2126-B2126-(D2126-1))/(A2126-(D2126-1))</f>
        <v/>
      </c>
      <c r="I2126" s="9">
        <f>A2126&amp;'x'&amp;B2126</f>
        <v/>
      </c>
      <c r="J2126" s="9">
        <f>IF(AND(G2126&gt;0.9,G2126&lt;1),"OK","CHECK")</f>
        <v/>
      </c>
    </row>
    <row r="2127">
      <c r="A2127" s="9" t="n">
        <v>49</v>
      </c>
      <c r="B2127" s="9" t="n">
        <v>32</v>
      </c>
      <c r="C2127" s="9" t="n">
        <v>17</v>
      </c>
      <c r="D2127" s="9" t="n">
        <v>15</v>
      </c>
      <c r="E2127" s="10">
        <f>COMBIN(A2127,D2127)/COMBIN(A2127-B2127,D2127)</f>
        <v/>
      </c>
      <c r="F2127" s="11">
        <f>ROUNDUP(E2127*Controls!$B$4,4)</f>
        <v/>
      </c>
      <c r="G2127" s="12">
        <f>F2127/E2127</f>
        <v/>
      </c>
      <c r="H2127" s="10">
        <f>(A2127-B2127-(D2127-1))/(A2127-(D2127-1))</f>
        <v/>
      </c>
      <c r="I2127" s="9">
        <f>A2127&amp;'x'&amp;B2127</f>
        <v/>
      </c>
      <c r="J2127" s="9">
        <f>IF(AND(G2127&gt;0.9,G2127&lt;1),"OK","CHECK")</f>
        <v/>
      </c>
    </row>
    <row r="2128">
      <c r="A2128" s="9" t="n">
        <v>49</v>
      </c>
      <c r="B2128" s="9" t="n">
        <v>32</v>
      </c>
      <c r="C2128" s="9" t="n">
        <v>17</v>
      </c>
      <c r="D2128" s="9" t="n">
        <v>16</v>
      </c>
      <c r="E2128" s="10">
        <f>COMBIN(A2128,D2128)/COMBIN(A2128-B2128,D2128)</f>
        <v/>
      </c>
      <c r="F2128" s="11">
        <f>ROUNDUP(E2128*Controls!$B$4,4)</f>
        <v/>
      </c>
      <c r="G2128" s="12">
        <f>F2128/E2128</f>
        <v/>
      </c>
      <c r="H2128" s="10">
        <f>(A2128-B2128-(D2128-1))/(A2128-(D2128-1))</f>
        <v/>
      </c>
      <c r="I2128" s="9">
        <f>A2128&amp;'x'&amp;B2128</f>
        <v/>
      </c>
      <c r="J2128" s="9">
        <f>IF(AND(G2128&gt;0.9,G2128&lt;1),"OK","CHECK")</f>
        <v/>
      </c>
    </row>
    <row r="2129">
      <c r="A2129" s="9" t="n">
        <v>49</v>
      </c>
      <c r="B2129" s="9" t="n">
        <v>32</v>
      </c>
      <c r="C2129" s="9" t="n">
        <v>17</v>
      </c>
      <c r="D2129" s="9" t="n">
        <v>17</v>
      </c>
      <c r="E2129" s="10">
        <f>COMBIN(A2129,D2129)/COMBIN(A2129-B2129,D2129)</f>
        <v/>
      </c>
      <c r="F2129" s="11">
        <f>ROUNDUP(E2129*Controls!$B$4,4)</f>
        <v/>
      </c>
      <c r="G2129" s="12">
        <f>F2129/E2129</f>
        <v/>
      </c>
      <c r="H2129" s="10">
        <f>(A2129-B2129-(D2129-1))/(A2129-(D2129-1))</f>
        <v/>
      </c>
      <c r="I2129" s="9">
        <f>A2129&amp;'x'&amp;B2129</f>
        <v/>
      </c>
      <c r="J2129" s="9">
        <f>IF(AND(G2129&gt;0.9,G2129&lt;1),"OK","CHECK")</f>
        <v/>
      </c>
    </row>
    <row r="2130">
      <c r="A2130" s="9" t="n">
        <v>49</v>
      </c>
      <c r="B2130" s="9" t="n">
        <v>33</v>
      </c>
      <c r="C2130" s="9" t="n">
        <v>16</v>
      </c>
      <c r="D2130" s="9" t="n">
        <v>1</v>
      </c>
      <c r="E2130" s="10">
        <f>COMBIN(A2130,D2130)/COMBIN(A2130-B2130,D2130)</f>
        <v/>
      </c>
      <c r="F2130" s="11">
        <f>ROUNDUP(E2130*Controls!$B$4,4)</f>
        <v/>
      </c>
      <c r="G2130" s="12">
        <f>F2130/E2130</f>
        <v/>
      </c>
      <c r="H2130" s="10">
        <f>(A2130-B2130-(D2130-1))/(A2130-(D2130-1))</f>
        <v/>
      </c>
      <c r="I2130" s="9">
        <f>A2130&amp;'x'&amp;B2130</f>
        <v/>
      </c>
      <c r="J2130" s="9">
        <f>IF(AND(G2130&gt;0.9,G2130&lt;1),"OK","CHECK")</f>
        <v/>
      </c>
    </row>
    <row r="2131">
      <c r="A2131" s="9" t="n">
        <v>49</v>
      </c>
      <c r="B2131" s="9" t="n">
        <v>33</v>
      </c>
      <c r="C2131" s="9" t="n">
        <v>16</v>
      </c>
      <c r="D2131" s="9" t="n">
        <v>2</v>
      </c>
      <c r="E2131" s="10">
        <f>COMBIN(A2131,D2131)/COMBIN(A2131-B2131,D2131)</f>
        <v/>
      </c>
      <c r="F2131" s="11">
        <f>ROUNDUP(E2131*Controls!$B$4,4)</f>
        <v/>
      </c>
      <c r="G2131" s="12">
        <f>F2131/E2131</f>
        <v/>
      </c>
      <c r="H2131" s="10">
        <f>(A2131-B2131-(D2131-1))/(A2131-(D2131-1))</f>
        <v/>
      </c>
      <c r="I2131" s="9">
        <f>A2131&amp;'x'&amp;B2131</f>
        <v/>
      </c>
      <c r="J2131" s="9">
        <f>IF(AND(G2131&gt;0.9,G2131&lt;1),"OK","CHECK")</f>
        <v/>
      </c>
    </row>
    <row r="2132">
      <c r="A2132" s="9" t="n">
        <v>49</v>
      </c>
      <c r="B2132" s="9" t="n">
        <v>33</v>
      </c>
      <c r="C2132" s="9" t="n">
        <v>16</v>
      </c>
      <c r="D2132" s="9" t="n">
        <v>3</v>
      </c>
      <c r="E2132" s="10">
        <f>COMBIN(A2132,D2132)/COMBIN(A2132-B2132,D2132)</f>
        <v/>
      </c>
      <c r="F2132" s="11">
        <f>ROUNDUP(E2132*Controls!$B$4,4)</f>
        <v/>
      </c>
      <c r="G2132" s="12">
        <f>F2132/E2132</f>
        <v/>
      </c>
      <c r="H2132" s="10">
        <f>(A2132-B2132-(D2132-1))/(A2132-(D2132-1))</f>
        <v/>
      </c>
      <c r="I2132" s="9">
        <f>A2132&amp;'x'&amp;B2132</f>
        <v/>
      </c>
      <c r="J2132" s="9">
        <f>IF(AND(G2132&gt;0.9,G2132&lt;1),"OK","CHECK")</f>
        <v/>
      </c>
    </row>
    <row r="2133">
      <c r="A2133" s="9" t="n">
        <v>49</v>
      </c>
      <c r="B2133" s="9" t="n">
        <v>33</v>
      </c>
      <c r="C2133" s="9" t="n">
        <v>16</v>
      </c>
      <c r="D2133" s="9" t="n">
        <v>4</v>
      </c>
      <c r="E2133" s="10">
        <f>COMBIN(A2133,D2133)/COMBIN(A2133-B2133,D2133)</f>
        <v/>
      </c>
      <c r="F2133" s="11">
        <f>ROUNDUP(E2133*Controls!$B$4,4)</f>
        <v/>
      </c>
      <c r="G2133" s="12">
        <f>F2133/E2133</f>
        <v/>
      </c>
      <c r="H2133" s="10">
        <f>(A2133-B2133-(D2133-1))/(A2133-(D2133-1))</f>
        <v/>
      </c>
      <c r="I2133" s="9">
        <f>A2133&amp;'x'&amp;B2133</f>
        <v/>
      </c>
      <c r="J2133" s="9">
        <f>IF(AND(G2133&gt;0.9,G2133&lt;1),"OK","CHECK")</f>
        <v/>
      </c>
    </row>
    <row r="2134">
      <c r="A2134" s="9" t="n">
        <v>49</v>
      </c>
      <c r="B2134" s="9" t="n">
        <v>33</v>
      </c>
      <c r="C2134" s="9" t="n">
        <v>16</v>
      </c>
      <c r="D2134" s="9" t="n">
        <v>5</v>
      </c>
      <c r="E2134" s="10">
        <f>COMBIN(A2134,D2134)/COMBIN(A2134-B2134,D2134)</f>
        <v/>
      </c>
      <c r="F2134" s="11">
        <f>ROUNDUP(E2134*Controls!$B$4,4)</f>
        <v/>
      </c>
      <c r="G2134" s="12">
        <f>F2134/E2134</f>
        <v/>
      </c>
      <c r="H2134" s="10">
        <f>(A2134-B2134-(D2134-1))/(A2134-(D2134-1))</f>
        <v/>
      </c>
      <c r="I2134" s="9">
        <f>A2134&amp;'x'&amp;B2134</f>
        <v/>
      </c>
      <c r="J2134" s="9">
        <f>IF(AND(G2134&gt;0.9,G2134&lt;1),"OK","CHECK")</f>
        <v/>
      </c>
    </row>
    <row r="2135">
      <c r="A2135" s="9" t="n">
        <v>49</v>
      </c>
      <c r="B2135" s="9" t="n">
        <v>33</v>
      </c>
      <c r="C2135" s="9" t="n">
        <v>16</v>
      </c>
      <c r="D2135" s="9" t="n">
        <v>6</v>
      </c>
      <c r="E2135" s="10">
        <f>COMBIN(A2135,D2135)/COMBIN(A2135-B2135,D2135)</f>
        <v/>
      </c>
      <c r="F2135" s="11">
        <f>ROUNDUP(E2135*Controls!$B$4,4)</f>
        <v/>
      </c>
      <c r="G2135" s="12">
        <f>F2135/E2135</f>
        <v/>
      </c>
      <c r="H2135" s="10">
        <f>(A2135-B2135-(D2135-1))/(A2135-(D2135-1))</f>
        <v/>
      </c>
      <c r="I2135" s="9">
        <f>A2135&amp;'x'&amp;B2135</f>
        <v/>
      </c>
      <c r="J2135" s="9">
        <f>IF(AND(G2135&gt;0.9,G2135&lt;1),"OK","CHECK")</f>
        <v/>
      </c>
    </row>
    <row r="2136">
      <c r="A2136" s="9" t="n">
        <v>49</v>
      </c>
      <c r="B2136" s="9" t="n">
        <v>33</v>
      </c>
      <c r="C2136" s="9" t="n">
        <v>16</v>
      </c>
      <c r="D2136" s="9" t="n">
        <v>7</v>
      </c>
      <c r="E2136" s="10">
        <f>COMBIN(A2136,D2136)/COMBIN(A2136-B2136,D2136)</f>
        <v/>
      </c>
      <c r="F2136" s="11">
        <f>ROUNDUP(E2136*Controls!$B$4,4)</f>
        <v/>
      </c>
      <c r="G2136" s="12">
        <f>F2136/E2136</f>
        <v/>
      </c>
      <c r="H2136" s="10">
        <f>(A2136-B2136-(D2136-1))/(A2136-(D2136-1))</f>
        <v/>
      </c>
      <c r="I2136" s="9">
        <f>A2136&amp;'x'&amp;B2136</f>
        <v/>
      </c>
      <c r="J2136" s="9">
        <f>IF(AND(G2136&gt;0.9,G2136&lt;1),"OK","CHECK")</f>
        <v/>
      </c>
    </row>
    <row r="2137">
      <c r="A2137" s="9" t="n">
        <v>49</v>
      </c>
      <c r="B2137" s="9" t="n">
        <v>33</v>
      </c>
      <c r="C2137" s="9" t="n">
        <v>16</v>
      </c>
      <c r="D2137" s="9" t="n">
        <v>8</v>
      </c>
      <c r="E2137" s="10">
        <f>COMBIN(A2137,D2137)/COMBIN(A2137-B2137,D2137)</f>
        <v/>
      </c>
      <c r="F2137" s="11">
        <f>ROUNDUP(E2137*Controls!$B$4,4)</f>
        <v/>
      </c>
      <c r="G2137" s="12">
        <f>F2137/E2137</f>
        <v/>
      </c>
      <c r="H2137" s="10">
        <f>(A2137-B2137-(D2137-1))/(A2137-(D2137-1))</f>
        <v/>
      </c>
      <c r="I2137" s="9">
        <f>A2137&amp;'x'&amp;B2137</f>
        <v/>
      </c>
      <c r="J2137" s="9">
        <f>IF(AND(G2137&gt;0.9,G2137&lt;1),"OK","CHECK")</f>
        <v/>
      </c>
    </row>
    <row r="2138">
      <c r="A2138" s="9" t="n">
        <v>49</v>
      </c>
      <c r="B2138" s="9" t="n">
        <v>33</v>
      </c>
      <c r="C2138" s="9" t="n">
        <v>16</v>
      </c>
      <c r="D2138" s="9" t="n">
        <v>9</v>
      </c>
      <c r="E2138" s="10">
        <f>COMBIN(A2138,D2138)/COMBIN(A2138-B2138,D2138)</f>
        <v/>
      </c>
      <c r="F2138" s="11">
        <f>ROUNDUP(E2138*Controls!$B$4,4)</f>
        <v/>
      </c>
      <c r="G2138" s="12">
        <f>F2138/E2138</f>
        <v/>
      </c>
      <c r="H2138" s="10">
        <f>(A2138-B2138-(D2138-1))/(A2138-(D2138-1))</f>
        <v/>
      </c>
      <c r="I2138" s="9">
        <f>A2138&amp;'x'&amp;B2138</f>
        <v/>
      </c>
      <c r="J2138" s="9">
        <f>IF(AND(G2138&gt;0.9,G2138&lt;1),"OK","CHECK")</f>
        <v/>
      </c>
    </row>
    <row r="2139">
      <c r="A2139" s="9" t="n">
        <v>49</v>
      </c>
      <c r="B2139" s="9" t="n">
        <v>33</v>
      </c>
      <c r="C2139" s="9" t="n">
        <v>16</v>
      </c>
      <c r="D2139" s="9" t="n">
        <v>10</v>
      </c>
      <c r="E2139" s="10">
        <f>COMBIN(A2139,D2139)/COMBIN(A2139-B2139,D2139)</f>
        <v/>
      </c>
      <c r="F2139" s="11">
        <f>ROUNDUP(E2139*Controls!$B$4,4)</f>
        <v/>
      </c>
      <c r="G2139" s="12">
        <f>F2139/E2139</f>
        <v/>
      </c>
      <c r="H2139" s="10">
        <f>(A2139-B2139-(D2139-1))/(A2139-(D2139-1))</f>
        <v/>
      </c>
      <c r="I2139" s="9">
        <f>A2139&amp;'x'&amp;B2139</f>
        <v/>
      </c>
      <c r="J2139" s="9">
        <f>IF(AND(G2139&gt;0.9,G2139&lt;1),"OK","CHECK")</f>
        <v/>
      </c>
    </row>
    <row r="2140">
      <c r="A2140" s="9" t="n">
        <v>49</v>
      </c>
      <c r="B2140" s="9" t="n">
        <v>33</v>
      </c>
      <c r="C2140" s="9" t="n">
        <v>16</v>
      </c>
      <c r="D2140" s="9" t="n">
        <v>11</v>
      </c>
      <c r="E2140" s="10">
        <f>COMBIN(A2140,D2140)/COMBIN(A2140-B2140,D2140)</f>
        <v/>
      </c>
      <c r="F2140" s="11">
        <f>ROUNDUP(E2140*Controls!$B$4,4)</f>
        <v/>
      </c>
      <c r="G2140" s="12">
        <f>F2140/E2140</f>
        <v/>
      </c>
      <c r="H2140" s="10">
        <f>(A2140-B2140-(D2140-1))/(A2140-(D2140-1))</f>
        <v/>
      </c>
      <c r="I2140" s="9">
        <f>A2140&amp;'x'&amp;B2140</f>
        <v/>
      </c>
      <c r="J2140" s="9">
        <f>IF(AND(G2140&gt;0.9,G2140&lt;1),"OK","CHECK")</f>
        <v/>
      </c>
    </row>
    <row r="2141">
      <c r="A2141" s="9" t="n">
        <v>49</v>
      </c>
      <c r="B2141" s="9" t="n">
        <v>33</v>
      </c>
      <c r="C2141" s="9" t="n">
        <v>16</v>
      </c>
      <c r="D2141" s="9" t="n">
        <v>12</v>
      </c>
      <c r="E2141" s="10">
        <f>COMBIN(A2141,D2141)/COMBIN(A2141-B2141,D2141)</f>
        <v/>
      </c>
      <c r="F2141" s="11">
        <f>ROUNDUP(E2141*Controls!$B$4,4)</f>
        <v/>
      </c>
      <c r="G2141" s="12">
        <f>F2141/E2141</f>
        <v/>
      </c>
      <c r="H2141" s="10">
        <f>(A2141-B2141-(D2141-1))/(A2141-(D2141-1))</f>
        <v/>
      </c>
      <c r="I2141" s="9">
        <f>A2141&amp;'x'&amp;B2141</f>
        <v/>
      </c>
      <c r="J2141" s="9">
        <f>IF(AND(G2141&gt;0.9,G2141&lt;1),"OK","CHECK")</f>
        <v/>
      </c>
    </row>
    <row r="2142">
      <c r="A2142" s="9" t="n">
        <v>49</v>
      </c>
      <c r="B2142" s="9" t="n">
        <v>33</v>
      </c>
      <c r="C2142" s="9" t="n">
        <v>16</v>
      </c>
      <c r="D2142" s="9" t="n">
        <v>13</v>
      </c>
      <c r="E2142" s="10">
        <f>COMBIN(A2142,D2142)/COMBIN(A2142-B2142,D2142)</f>
        <v/>
      </c>
      <c r="F2142" s="11">
        <f>ROUNDUP(E2142*Controls!$B$4,4)</f>
        <v/>
      </c>
      <c r="G2142" s="12">
        <f>F2142/E2142</f>
        <v/>
      </c>
      <c r="H2142" s="10">
        <f>(A2142-B2142-(D2142-1))/(A2142-(D2142-1))</f>
        <v/>
      </c>
      <c r="I2142" s="9">
        <f>A2142&amp;'x'&amp;B2142</f>
        <v/>
      </c>
      <c r="J2142" s="9">
        <f>IF(AND(G2142&gt;0.9,G2142&lt;1),"OK","CHECK")</f>
        <v/>
      </c>
    </row>
    <row r="2143">
      <c r="A2143" s="9" t="n">
        <v>49</v>
      </c>
      <c r="B2143" s="9" t="n">
        <v>33</v>
      </c>
      <c r="C2143" s="9" t="n">
        <v>16</v>
      </c>
      <c r="D2143" s="9" t="n">
        <v>14</v>
      </c>
      <c r="E2143" s="10">
        <f>COMBIN(A2143,D2143)/COMBIN(A2143-B2143,D2143)</f>
        <v/>
      </c>
      <c r="F2143" s="11">
        <f>ROUNDUP(E2143*Controls!$B$4,4)</f>
        <v/>
      </c>
      <c r="G2143" s="12">
        <f>F2143/E2143</f>
        <v/>
      </c>
      <c r="H2143" s="10">
        <f>(A2143-B2143-(D2143-1))/(A2143-(D2143-1))</f>
        <v/>
      </c>
      <c r="I2143" s="9">
        <f>A2143&amp;'x'&amp;B2143</f>
        <v/>
      </c>
      <c r="J2143" s="9">
        <f>IF(AND(G2143&gt;0.9,G2143&lt;1),"OK","CHECK")</f>
        <v/>
      </c>
    </row>
    <row r="2144">
      <c r="A2144" s="9" t="n">
        <v>49</v>
      </c>
      <c r="B2144" s="9" t="n">
        <v>33</v>
      </c>
      <c r="C2144" s="9" t="n">
        <v>16</v>
      </c>
      <c r="D2144" s="9" t="n">
        <v>15</v>
      </c>
      <c r="E2144" s="10">
        <f>COMBIN(A2144,D2144)/COMBIN(A2144-B2144,D2144)</f>
        <v/>
      </c>
      <c r="F2144" s="11">
        <f>ROUNDUP(E2144*Controls!$B$4,4)</f>
        <v/>
      </c>
      <c r="G2144" s="12">
        <f>F2144/E2144</f>
        <v/>
      </c>
      <c r="H2144" s="10">
        <f>(A2144-B2144-(D2144-1))/(A2144-(D2144-1))</f>
        <v/>
      </c>
      <c r="I2144" s="9">
        <f>A2144&amp;'x'&amp;B2144</f>
        <v/>
      </c>
      <c r="J2144" s="9">
        <f>IF(AND(G2144&gt;0.9,G2144&lt;1),"OK","CHECK")</f>
        <v/>
      </c>
    </row>
    <row r="2145">
      <c r="A2145" s="9" t="n">
        <v>49</v>
      </c>
      <c r="B2145" s="9" t="n">
        <v>33</v>
      </c>
      <c r="C2145" s="9" t="n">
        <v>16</v>
      </c>
      <c r="D2145" s="9" t="n">
        <v>16</v>
      </c>
      <c r="E2145" s="10">
        <f>COMBIN(A2145,D2145)/COMBIN(A2145-B2145,D2145)</f>
        <v/>
      </c>
      <c r="F2145" s="11">
        <f>ROUNDUP(E2145*Controls!$B$4,4)</f>
        <v/>
      </c>
      <c r="G2145" s="12">
        <f>F2145/E2145</f>
        <v/>
      </c>
      <c r="H2145" s="10">
        <f>(A2145-B2145-(D2145-1))/(A2145-(D2145-1))</f>
        <v/>
      </c>
      <c r="I2145" s="9">
        <f>A2145&amp;'x'&amp;B2145</f>
        <v/>
      </c>
      <c r="J2145" s="9">
        <f>IF(AND(G2145&gt;0.9,G2145&lt;1),"OK","CHECK")</f>
        <v/>
      </c>
    </row>
    <row r="2146">
      <c r="A2146" s="9" t="n">
        <v>49</v>
      </c>
      <c r="B2146" s="9" t="n">
        <v>34</v>
      </c>
      <c r="C2146" s="9" t="n">
        <v>15</v>
      </c>
      <c r="D2146" s="9" t="n">
        <v>1</v>
      </c>
      <c r="E2146" s="10">
        <f>COMBIN(A2146,D2146)/COMBIN(A2146-B2146,D2146)</f>
        <v/>
      </c>
      <c r="F2146" s="11">
        <f>ROUNDUP(E2146*Controls!$B$4,4)</f>
        <v/>
      </c>
      <c r="G2146" s="12">
        <f>F2146/E2146</f>
        <v/>
      </c>
      <c r="H2146" s="10">
        <f>(A2146-B2146-(D2146-1))/(A2146-(D2146-1))</f>
        <v/>
      </c>
      <c r="I2146" s="9">
        <f>A2146&amp;'x'&amp;B2146</f>
        <v/>
      </c>
      <c r="J2146" s="9">
        <f>IF(AND(G2146&gt;0.9,G2146&lt;1),"OK","CHECK")</f>
        <v/>
      </c>
    </row>
    <row r="2147">
      <c r="A2147" s="9" t="n">
        <v>49</v>
      </c>
      <c r="B2147" s="9" t="n">
        <v>34</v>
      </c>
      <c r="C2147" s="9" t="n">
        <v>15</v>
      </c>
      <c r="D2147" s="9" t="n">
        <v>2</v>
      </c>
      <c r="E2147" s="10">
        <f>COMBIN(A2147,D2147)/COMBIN(A2147-B2147,D2147)</f>
        <v/>
      </c>
      <c r="F2147" s="11">
        <f>ROUNDUP(E2147*Controls!$B$4,4)</f>
        <v/>
      </c>
      <c r="G2147" s="12">
        <f>F2147/E2147</f>
        <v/>
      </c>
      <c r="H2147" s="10">
        <f>(A2147-B2147-(D2147-1))/(A2147-(D2147-1))</f>
        <v/>
      </c>
      <c r="I2147" s="9">
        <f>A2147&amp;'x'&amp;B2147</f>
        <v/>
      </c>
      <c r="J2147" s="9">
        <f>IF(AND(G2147&gt;0.9,G2147&lt;1),"OK","CHECK")</f>
        <v/>
      </c>
    </row>
    <row r="2148">
      <c r="A2148" s="9" t="n">
        <v>49</v>
      </c>
      <c r="B2148" s="9" t="n">
        <v>34</v>
      </c>
      <c r="C2148" s="9" t="n">
        <v>15</v>
      </c>
      <c r="D2148" s="9" t="n">
        <v>3</v>
      </c>
      <c r="E2148" s="10">
        <f>COMBIN(A2148,D2148)/COMBIN(A2148-B2148,D2148)</f>
        <v/>
      </c>
      <c r="F2148" s="11">
        <f>ROUNDUP(E2148*Controls!$B$4,4)</f>
        <v/>
      </c>
      <c r="G2148" s="12">
        <f>F2148/E2148</f>
        <v/>
      </c>
      <c r="H2148" s="10">
        <f>(A2148-B2148-(D2148-1))/(A2148-(D2148-1))</f>
        <v/>
      </c>
      <c r="I2148" s="9">
        <f>A2148&amp;'x'&amp;B2148</f>
        <v/>
      </c>
      <c r="J2148" s="9">
        <f>IF(AND(G2148&gt;0.9,G2148&lt;1),"OK","CHECK")</f>
        <v/>
      </c>
    </row>
    <row r="2149">
      <c r="A2149" s="9" t="n">
        <v>49</v>
      </c>
      <c r="B2149" s="9" t="n">
        <v>34</v>
      </c>
      <c r="C2149" s="9" t="n">
        <v>15</v>
      </c>
      <c r="D2149" s="9" t="n">
        <v>4</v>
      </c>
      <c r="E2149" s="10">
        <f>COMBIN(A2149,D2149)/COMBIN(A2149-B2149,D2149)</f>
        <v/>
      </c>
      <c r="F2149" s="11">
        <f>ROUNDUP(E2149*Controls!$B$4,4)</f>
        <v/>
      </c>
      <c r="G2149" s="12">
        <f>F2149/E2149</f>
        <v/>
      </c>
      <c r="H2149" s="10">
        <f>(A2149-B2149-(D2149-1))/(A2149-(D2149-1))</f>
        <v/>
      </c>
      <c r="I2149" s="9">
        <f>A2149&amp;'x'&amp;B2149</f>
        <v/>
      </c>
      <c r="J2149" s="9">
        <f>IF(AND(G2149&gt;0.9,G2149&lt;1),"OK","CHECK")</f>
        <v/>
      </c>
    </row>
    <row r="2150">
      <c r="A2150" s="9" t="n">
        <v>49</v>
      </c>
      <c r="B2150" s="9" t="n">
        <v>34</v>
      </c>
      <c r="C2150" s="9" t="n">
        <v>15</v>
      </c>
      <c r="D2150" s="9" t="n">
        <v>5</v>
      </c>
      <c r="E2150" s="10">
        <f>COMBIN(A2150,D2150)/COMBIN(A2150-B2150,D2150)</f>
        <v/>
      </c>
      <c r="F2150" s="11">
        <f>ROUNDUP(E2150*Controls!$B$4,4)</f>
        <v/>
      </c>
      <c r="G2150" s="12">
        <f>F2150/E2150</f>
        <v/>
      </c>
      <c r="H2150" s="10">
        <f>(A2150-B2150-(D2150-1))/(A2150-(D2150-1))</f>
        <v/>
      </c>
      <c r="I2150" s="9">
        <f>A2150&amp;'x'&amp;B2150</f>
        <v/>
      </c>
      <c r="J2150" s="9">
        <f>IF(AND(G2150&gt;0.9,G2150&lt;1),"OK","CHECK")</f>
        <v/>
      </c>
    </row>
    <row r="2151">
      <c r="A2151" s="9" t="n">
        <v>49</v>
      </c>
      <c r="B2151" s="9" t="n">
        <v>34</v>
      </c>
      <c r="C2151" s="9" t="n">
        <v>15</v>
      </c>
      <c r="D2151" s="9" t="n">
        <v>6</v>
      </c>
      <c r="E2151" s="10">
        <f>COMBIN(A2151,D2151)/COMBIN(A2151-B2151,D2151)</f>
        <v/>
      </c>
      <c r="F2151" s="11">
        <f>ROUNDUP(E2151*Controls!$B$4,4)</f>
        <v/>
      </c>
      <c r="G2151" s="12">
        <f>F2151/E2151</f>
        <v/>
      </c>
      <c r="H2151" s="10">
        <f>(A2151-B2151-(D2151-1))/(A2151-(D2151-1))</f>
        <v/>
      </c>
      <c r="I2151" s="9">
        <f>A2151&amp;'x'&amp;B2151</f>
        <v/>
      </c>
      <c r="J2151" s="9">
        <f>IF(AND(G2151&gt;0.9,G2151&lt;1),"OK","CHECK")</f>
        <v/>
      </c>
    </row>
    <row r="2152">
      <c r="A2152" s="9" t="n">
        <v>49</v>
      </c>
      <c r="B2152" s="9" t="n">
        <v>34</v>
      </c>
      <c r="C2152" s="9" t="n">
        <v>15</v>
      </c>
      <c r="D2152" s="9" t="n">
        <v>7</v>
      </c>
      <c r="E2152" s="10">
        <f>COMBIN(A2152,D2152)/COMBIN(A2152-B2152,D2152)</f>
        <v/>
      </c>
      <c r="F2152" s="11">
        <f>ROUNDUP(E2152*Controls!$B$4,4)</f>
        <v/>
      </c>
      <c r="G2152" s="12">
        <f>F2152/E2152</f>
        <v/>
      </c>
      <c r="H2152" s="10">
        <f>(A2152-B2152-(D2152-1))/(A2152-(D2152-1))</f>
        <v/>
      </c>
      <c r="I2152" s="9">
        <f>A2152&amp;'x'&amp;B2152</f>
        <v/>
      </c>
      <c r="J2152" s="9">
        <f>IF(AND(G2152&gt;0.9,G2152&lt;1),"OK","CHECK")</f>
        <v/>
      </c>
    </row>
    <row r="2153">
      <c r="A2153" s="9" t="n">
        <v>49</v>
      </c>
      <c r="B2153" s="9" t="n">
        <v>34</v>
      </c>
      <c r="C2153" s="9" t="n">
        <v>15</v>
      </c>
      <c r="D2153" s="9" t="n">
        <v>8</v>
      </c>
      <c r="E2153" s="10">
        <f>COMBIN(A2153,D2153)/COMBIN(A2153-B2153,D2153)</f>
        <v/>
      </c>
      <c r="F2153" s="11">
        <f>ROUNDUP(E2153*Controls!$B$4,4)</f>
        <v/>
      </c>
      <c r="G2153" s="12">
        <f>F2153/E2153</f>
        <v/>
      </c>
      <c r="H2153" s="10">
        <f>(A2153-B2153-(D2153-1))/(A2153-(D2153-1))</f>
        <v/>
      </c>
      <c r="I2153" s="9">
        <f>A2153&amp;'x'&amp;B2153</f>
        <v/>
      </c>
      <c r="J2153" s="9">
        <f>IF(AND(G2153&gt;0.9,G2153&lt;1),"OK","CHECK")</f>
        <v/>
      </c>
    </row>
    <row r="2154">
      <c r="A2154" s="9" t="n">
        <v>49</v>
      </c>
      <c r="B2154" s="9" t="n">
        <v>34</v>
      </c>
      <c r="C2154" s="9" t="n">
        <v>15</v>
      </c>
      <c r="D2154" s="9" t="n">
        <v>9</v>
      </c>
      <c r="E2154" s="10">
        <f>COMBIN(A2154,D2154)/COMBIN(A2154-B2154,D2154)</f>
        <v/>
      </c>
      <c r="F2154" s="11">
        <f>ROUNDUP(E2154*Controls!$B$4,4)</f>
        <v/>
      </c>
      <c r="G2154" s="12">
        <f>F2154/E2154</f>
        <v/>
      </c>
      <c r="H2154" s="10">
        <f>(A2154-B2154-(D2154-1))/(A2154-(D2154-1))</f>
        <v/>
      </c>
      <c r="I2154" s="9">
        <f>A2154&amp;'x'&amp;B2154</f>
        <v/>
      </c>
      <c r="J2154" s="9">
        <f>IF(AND(G2154&gt;0.9,G2154&lt;1),"OK","CHECK")</f>
        <v/>
      </c>
    </row>
    <row r="2155">
      <c r="A2155" s="9" t="n">
        <v>49</v>
      </c>
      <c r="B2155" s="9" t="n">
        <v>34</v>
      </c>
      <c r="C2155" s="9" t="n">
        <v>15</v>
      </c>
      <c r="D2155" s="9" t="n">
        <v>10</v>
      </c>
      <c r="E2155" s="10">
        <f>COMBIN(A2155,D2155)/COMBIN(A2155-B2155,D2155)</f>
        <v/>
      </c>
      <c r="F2155" s="11">
        <f>ROUNDUP(E2155*Controls!$B$4,4)</f>
        <v/>
      </c>
      <c r="G2155" s="12">
        <f>F2155/E2155</f>
        <v/>
      </c>
      <c r="H2155" s="10">
        <f>(A2155-B2155-(D2155-1))/(A2155-(D2155-1))</f>
        <v/>
      </c>
      <c r="I2155" s="9">
        <f>A2155&amp;'x'&amp;B2155</f>
        <v/>
      </c>
      <c r="J2155" s="9">
        <f>IF(AND(G2155&gt;0.9,G2155&lt;1),"OK","CHECK")</f>
        <v/>
      </c>
    </row>
    <row r="2156">
      <c r="A2156" s="9" t="n">
        <v>49</v>
      </c>
      <c r="B2156" s="9" t="n">
        <v>34</v>
      </c>
      <c r="C2156" s="9" t="n">
        <v>15</v>
      </c>
      <c r="D2156" s="9" t="n">
        <v>11</v>
      </c>
      <c r="E2156" s="10">
        <f>COMBIN(A2156,D2156)/COMBIN(A2156-B2156,D2156)</f>
        <v/>
      </c>
      <c r="F2156" s="11">
        <f>ROUNDUP(E2156*Controls!$B$4,4)</f>
        <v/>
      </c>
      <c r="G2156" s="12">
        <f>F2156/E2156</f>
        <v/>
      </c>
      <c r="H2156" s="10">
        <f>(A2156-B2156-(D2156-1))/(A2156-(D2156-1))</f>
        <v/>
      </c>
      <c r="I2156" s="9">
        <f>A2156&amp;'x'&amp;B2156</f>
        <v/>
      </c>
      <c r="J2156" s="9">
        <f>IF(AND(G2156&gt;0.9,G2156&lt;1),"OK","CHECK")</f>
        <v/>
      </c>
    </row>
    <row r="2157">
      <c r="A2157" s="9" t="n">
        <v>49</v>
      </c>
      <c r="B2157" s="9" t="n">
        <v>34</v>
      </c>
      <c r="C2157" s="9" t="n">
        <v>15</v>
      </c>
      <c r="D2157" s="9" t="n">
        <v>12</v>
      </c>
      <c r="E2157" s="10">
        <f>COMBIN(A2157,D2157)/COMBIN(A2157-B2157,D2157)</f>
        <v/>
      </c>
      <c r="F2157" s="11">
        <f>ROUNDUP(E2157*Controls!$B$4,4)</f>
        <v/>
      </c>
      <c r="G2157" s="12">
        <f>F2157/E2157</f>
        <v/>
      </c>
      <c r="H2157" s="10">
        <f>(A2157-B2157-(D2157-1))/(A2157-(D2157-1))</f>
        <v/>
      </c>
      <c r="I2157" s="9">
        <f>A2157&amp;'x'&amp;B2157</f>
        <v/>
      </c>
      <c r="J2157" s="9">
        <f>IF(AND(G2157&gt;0.9,G2157&lt;1),"OK","CHECK")</f>
        <v/>
      </c>
    </row>
    <row r="2158">
      <c r="A2158" s="9" t="n">
        <v>49</v>
      </c>
      <c r="B2158" s="9" t="n">
        <v>34</v>
      </c>
      <c r="C2158" s="9" t="n">
        <v>15</v>
      </c>
      <c r="D2158" s="9" t="n">
        <v>13</v>
      </c>
      <c r="E2158" s="10">
        <f>COMBIN(A2158,D2158)/COMBIN(A2158-B2158,D2158)</f>
        <v/>
      </c>
      <c r="F2158" s="11">
        <f>ROUNDUP(E2158*Controls!$B$4,4)</f>
        <v/>
      </c>
      <c r="G2158" s="12">
        <f>F2158/E2158</f>
        <v/>
      </c>
      <c r="H2158" s="10">
        <f>(A2158-B2158-(D2158-1))/(A2158-(D2158-1))</f>
        <v/>
      </c>
      <c r="I2158" s="9">
        <f>A2158&amp;'x'&amp;B2158</f>
        <v/>
      </c>
      <c r="J2158" s="9">
        <f>IF(AND(G2158&gt;0.9,G2158&lt;1),"OK","CHECK")</f>
        <v/>
      </c>
    </row>
    <row r="2159">
      <c r="A2159" s="9" t="n">
        <v>49</v>
      </c>
      <c r="B2159" s="9" t="n">
        <v>34</v>
      </c>
      <c r="C2159" s="9" t="n">
        <v>15</v>
      </c>
      <c r="D2159" s="9" t="n">
        <v>14</v>
      </c>
      <c r="E2159" s="10">
        <f>COMBIN(A2159,D2159)/COMBIN(A2159-B2159,D2159)</f>
        <v/>
      </c>
      <c r="F2159" s="11">
        <f>ROUNDUP(E2159*Controls!$B$4,4)</f>
        <v/>
      </c>
      <c r="G2159" s="12">
        <f>F2159/E2159</f>
        <v/>
      </c>
      <c r="H2159" s="10">
        <f>(A2159-B2159-(D2159-1))/(A2159-(D2159-1))</f>
        <v/>
      </c>
      <c r="I2159" s="9">
        <f>A2159&amp;'x'&amp;B2159</f>
        <v/>
      </c>
      <c r="J2159" s="9">
        <f>IF(AND(G2159&gt;0.9,G2159&lt;1),"OK","CHECK")</f>
        <v/>
      </c>
    </row>
    <row r="2160">
      <c r="A2160" s="9" t="n">
        <v>49</v>
      </c>
      <c r="B2160" s="9" t="n">
        <v>34</v>
      </c>
      <c r="C2160" s="9" t="n">
        <v>15</v>
      </c>
      <c r="D2160" s="9" t="n">
        <v>15</v>
      </c>
      <c r="E2160" s="10">
        <f>COMBIN(A2160,D2160)/COMBIN(A2160-B2160,D2160)</f>
        <v/>
      </c>
      <c r="F2160" s="11">
        <f>ROUNDUP(E2160*Controls!$B$4,4)</f>
        <v/>
      </c>
      <c r="G2160" s="12">
        <f>F2160/E2160</f>
        <v/>
      </c>
      <c r="H2160" s="10">
        <f>(A2160-B2160-(D2160-1))/(A2160-(D2160-1))</f>
        <v/>
      </c>
      <c r="I2160" s="9">
        <f>A2160&amp;'x'&amp;B2160</f>
        <v/>
      </c>
      <c r="J2160" s="9">
        <f>IF(AND(G2160&gt;0.9,G2160&lt;1),"OK","CHECK")</f>
        <v/>
      </c>
    </row>
    <row r="2161">
      <c r="A2161" s="9" t="n">
        <v>49</v>
      </c>
      <c r="B2161" s="9" t="n">
        <v>35</v>
      </c>
      <c r="C2161" s="9" t="n">
        <v>14</v>
      </c>
      <c r="D2161" s="9" t="n">
        <v>1</v>
      </c>
      <c r="E2161" s="10">
        <f>COMBIN(A2161,D2161)/COMBIN(A2161-B2161,D2161)</f>
        <v/>
      </c>
      <c r="F2161" s="11">
        <f>ROUNDUP(E2161*Controls!$B$4,4)</f>
        <v/>
      </c>
      <c r="G2161" s="12">
        <f>F2161/E2161</f>
        <v/>
      </c>
      <c r="H2161" s="10">
        <f>(A2161-B2161-(D2161-1))/(A2161-(D2161-1))</f>
        <v/>
      </c>
      <c r="I2161" s="9">
        <f>A2161&amp;'x'&amp;B2161</f>
        <v/>
      </c>
      <c r="J2161" s="9">
        <f>IF(AND(G2161&gt;0.9,G2161&lt;1),"OK","CHECK")</f>
        <v/>
      </c>
    </row>
    <row r="2162">
      <c r="A2162" s="9" t="n">
        <v>49</v>
      </c>
      <c r="B2162" s="9" t="n">
        <v>35</v>
      </c>
      <c r="C2162" s="9" t="n">
        <v>14</v>
      </c>
      <c r="D2162" s="9" t="n">
        <v>2</v>
      </c>
      <c r="E2162" s="10">
        <f>COMBIN(A2162,D2162)/COMBIN(A2162-B2162,D2162)</f>
        <v/>
      </c>
      <c r="F2162" s="11">
        <f>ROUNDUP(E2162*Controls!$B$4,4)</f>
        <v/>
      </c>
      <c r="G2162" s="12">
        <f>F2162/E2162</f>
        <v/>
      </c>
      <c r="H2162" s="10">
        <f>(A2162-B2162-(D2162-1))/(A2162-(D2162-1))</f>
        <v/>
      </c>
      <c r="I2162" s="9">
        <f>A2162&amp;'x'&amp;B2162</f>
        <v/>
      </c>
      <c r="J2162" s="9">
        <f>IF(AND(G2162&gt;0.9,G2162&lt;1),"OK","CHECK")</f>
        <v/>
      </c>
    </row>
    <row r="2163">
      <c r="A2163" s="9" t="n">
        <v>49</v>
      </c>
      <c r="B2163" s="9" t="n">
        <v>35</v>
      </c>
      <c r="C2163" s="9" t="n">
        <v>14</v>
      </c>
      <c r="D2163" s="9" t="n">
        <v>3</v>
      </c>
      <c r="E2163" s="10">
        <f>COMBIN(A2163,D2163)/COMBIN(A2163-B2163,D2163)</f>
        <v/>
      </c>
      <c r="F2163" s="11">
        <f>ROUNDUP(E2163*Controls!$B$4,4)</f>
        <v/>
      </c>
      <c r="G2163" s="12">
        <f>F2163/E2163</f>
        <v/>
      </c>
      <c r="H2163" s="10">
        <f>(A2163-B2163-(D2163-1))/(A2163-(D2163-1))</f>
        <v/>
      </c>
      <c r="I2163" s="9">
        <f>A2163&amp;'x'&amp;B2163</f>
        <v/>
      </c>
      <c r="J2163" s="9">
        <f>IF(AND(G2163&gt;0.9,G2163&lt;1),"OK","CHECK")</f>
        <v/>
      </c>
    </row>
    <row r="2164">
      <c r="A2164" s="9" t="n">
        <v>49</v>
      </c>
      <c r="B2164" s="9" t="n">
        <v>35</v>
      </c>
      <c r="C2164" s="9" t="n">
        <v>14</v>
      </c>
      <c r="D2164" s="9" t="n">
        <v>4</v>
      </c>
      <c r="E2164" s="10">
        <f>COMBIN(A2164,D2164)/COMBIN(A2164-B2164,D2164)</f>
        <v/>
      </c>
      <c r="F2164" s="11">
        <f>ROUNDUP(E2164*Controls!$B$4,4)</f>
        <v/>
      </c>
      <c r="G2164" s="12">
        <f>F2164/E2164</f>
        <v/>
      </c>
      <c r="H2164" s="10">
        <f>(A2164-B2164-(D2164-1))/(A2164-(D2164-1))</f>
        <v/>
      </c>
      <c r="I2164" s="9">
        <f>A2164&amp;'x'&amp;B2164</f>
        <v/>
      </c>
      <c r="J2164" s="9">
        <f>IF(AND(G2164&gt;0.9,G2164&lt;1),"OK","CHECK")</f>
        <v/>
      </c>
    </row>
    <row r="2165">
      <c r="A2165" s="9" t="n">
        <v>49</v>
      </c>
      <c r="B2165" s="9" t="n">
        <v>35</v>
      </c>
      <c r="C2165" s="9" t="n">
        <v>14</v>
      </c>
      <c r="D2165" s="9" t="n">
        <v>5</v>
      </c>
      <c r="E2165" s="10">
        <f>COMBIN(A2165,D2165)/COMBIN(A2165-B2165,D2165)</f>
        <v/>
      </c>
      <c r="F2165" s="11">
        <f>ROUNDUP(E2165*Controls!$B$4,4)</f>
        <v/>
      </c>
      <c r="G2165" s="12">
        <f>F2165/E2165</f>
        <v/>
      </c>
      <c r="H2165" s="10">
        <f>(A2165-B2165-(D2165-1))/(A2165-(D2165-1))</f>
        <v/>
      </c>
      <c r="I2165" s="9">
        <f>A2165&amp;'x'&amp;B2165</f>
        <v/>
      </c>
      <c r="J2165" s="9">
        <f>IF(AND(G2165&gt;0.9,G2165&lt;1),"OK","CHECK")</f>
        <v/>
      </c>
    </row>
    <row r="2166">
      <c r="A2166" s="9" t="n">
        <v>49</v>
      </c>
      <c r="B2166" s="9" t="n">
        <v>35</v>
      </c>
      <c r="C2166" s="9" t="n">
        <v>14</v>
      </c>
      <c r="D2166" s="9" t="n">
        <v>6</v>
      </c>
      <c r="E2166" s="10">
        <f>COMBIN(A2166,D2166)/COMBIN(A2166-B2166,D2166)</f>
        <v/>
      </c>
      <c r="F2166" s="11">
        <f>ROUNDUP(E2166*Controls!$B$4,4)</f>
        <v/>
      </c>
      <c r="G2166" s="12">
        <f>F2166/E2166</f>
        <v/>
      </c>
      <c r="H2166" s="10">
        <f>(A2166-B2166-(D2166-1))/(A2166-(D2166-1))</f>
        <v/>
      </c>
      <c r="I2166" s="9">
        <f>A2166&amp;'x'&amp;B2166</f>
        <v/>
      </c>
      <c r="J2166" s="9">
        <f>IF(AND(G2166&gt;0.9,G2166&lt;1),"OK","CHECK")</f>
        <v/>
      </c>
    </row>
    <row r="2167">
      <c r="A2167" s="9" t="n">
        <v>49</v>
      </c>
      <c r="B2167" s="9" t="n">
        <v>35</v>
      </c>
      <c r="C2167" s="9" t="n">
        <v>14</v>
      </c>
      <c r="D2167" s="9" t="n">
        <v>7</v>
      </c>
      <c r="E2167" s="10">
        <f>COMBIN(A2167,D2167)/COMBIN(A2167-B2167,D2167)</f>
        <v/>
      </c>
      <c r="F2167" s="11">
        <f>ROUNDUP(E2167*Controls!$B$4,4)</f>
        <v/>
      </c>
      <c r="G2167" s="12">
        <f>F2167/E2167</f>
        <v/>
      </c>
      <c r="H2167" s="10">
        <f>(A2167-B2167-(D2167-1))/(A2167-(D2167-1))</f>
        <v/>
      </c>
      <c r="I2167" s="9">
        <f>A2167&amp;'x'&amp;B2167</f>
        <v/>
      </c>
      <c r="J2167" s="9">
        <f>IF(AND(G2167&gt;0.9,G2167&lt;1),"OK","CHECK")</f>
        <v/>
      </c>
    </row>
    <row r="2168">
      <c r="A2168" s="9" t="n">
        <v>49</v>
      </c>
      <c r="B2168" s="9" t="n">
        <v>35</v>
      </c>
      <c r="C2168" s="9" t="n">
        <v>14</v>
      </c>
      <c r="D2168" s="9" t="n">
        <v>8</v>
      </c>
      <c r="E2168" s="10">
        <f>COMBIN(A2168,D2168)/COMBIN(A2168-B2168,D2168)</f>
        <v/>
      </c>
      <c r="F2168" s="11">
        <f>ROUNDUP(E2168*Controls!$B$4,4)</f>
        <v/>
      </c>
      <c r="G2168" s="12">
        <f>F2168/E2168</f>
        <v/>
      </c>
      <c r="H2168" s="10">
        <f>(A2168-B2168-(D2168-1))/(A2168-(D2168-1))</f>
        <v/>
      </c>
      <c r="I2168" s="9">
        <f>A2168&amp;'x'&amp;B2168</f>
        <v/>
      </c>
      <c r="J2168" s="9">
        <f>IF(AND(G2168&gt;0.9,G2168&lt;1),"OK","CHECK")</f>
        <v/>
      </c>
    </row>
    <row r="2169">
      <c r="A2169" s="9" t="n">
        <v>49</v>
      </c>
      <c r="B2169" s="9" t="n">
        <v>35</v>
      </c>
      <c r="C2169" s="9" t="n">
        <v>14</v>
      </c>
      <c r="D2169" s="9" t="n">
        <v>9</v>
      </c>
      <c r="E2169" s="10">
        <f>COMBIN(A2169,D2169)/COMBIN(A2169-B2169,D2169)</f>
        <v/>
      </c>
      <c r="F2169" s="11">
        <f>ROUNDUP(E2169*Controls!$B$4,4)</f>
        <v/>
      </c>
      <c r="G2169" s="12">
        <f>F2169/E2169</f>
        <v/>
      </c>
      <c r="H2169" s="10">
        <f>(A2169-B2169-(D2169-1))/(A2169-(D2169-1))</f>
        <v/>
      </c>
      <c r="I2169" s="9">
        <f>A2169&amp;'x'&amp;B2169</f>
        <v/>
      </c>
      <c r="J2169" s="9">
        <f>IF(AND(G2169&gt;0.9,G2169&lt;1),"OK","CHECK")</f>
        <v/>
      </c>
    </row>
    <row r="2170">
      <c r="A2170" s="9" t="n">
        <v>49</v>
      </c>
      <c r="B2170" s="9" t="n">
        <v>35</v>
      </c>
      <c r="C2170" s="9" t="n">
        <v>14</v>
      </c>
      <c r="D2170" s="9" t="n">
        <v>10</v>
      </c>
      <c r="E2170" s="10">
        <f>COMBIN(A2170,D2170)/COMBIN(A2170-B2170,D2170)</f>
        <v/>
      </c>
      <c r="F2170" s="11">
        <f>ROUNDUP(E2170*Controls!$B$4,4)</f>
        <v/>
      </c>
      <c r="G2170" s="12">
        <f>F2170/E2170</f>
        <v/>
      </c>
      <c r="H2170" s="10">
        <f>(A2170-B2170-(D2170-1))/(A2170-(D2170-1))</f>
        <v/>
      </c>
      <c r="I2170" s="9">
        <f>A2170&amp;'x'&amp;B2170</f>
        <v/>
      </c>
      <c r="J2170" s="9">
        <f>IF(AND(G2170&gt;0.9,G2170&lt;1),"OK","CHECK")</f>
        <v/>
      </c>
    </row>
    <row r="2171">
      <c r="A2171" s="9" t="n">
        <v>49</v>
      </c>
      <c r="B2171" s="9" t="n">
        <v>35</v>
      </c>
      <c r="C2171" s="9" t="n">
        <v>14</v>
      </c>
      <c r="D2171" s="9" t="n">
        <v>11</v>
      </c>
      <c r="E2171" s="10">
        <f>COMBIN(A2171,D2171)/COMBIN(A2171-B2171,D2171)</f>
        <v/>
      </c>
      <c r="F2171" s="11">
        <f>ROUNDUP(E2171*Controls!$B$4,4)</f>
        <v/>
      </c>
      <c r="G2171" s="12">
        <f>F2171/E2171</f>
        <v/>
      </c>
      <c r="H2171" s="10">
        <f>(A2171-B2171-(D2171-1))/(A2171-(D2171-1))</f>
        <v/>
      </c>
      <c r="I2171" s="9">
        <f>A2171&amp;'x'&amp;B2171</f>
        <v/>
      </c>
      <c r="J2171" s="9">
        <f>IF(AND(G2171&gt;0.9,G2171&lt;1),"OK","CHECK")</f>
        <v/>
      </c>
    </row>
    <row r="2172">
      <c r="A2172" s="9" t="n">
        <v>49</v>
      </c>
      <c r="B2172" s="9" t="n">
        <v>35</v>
      </c>
      <c r="C2172" s="9" t="n">
        <v>14</v>
      </c>
      <c r="D2172" s="9" t="n">
        <v>12</v>
      </c>
      <c r="E2172" s="10">
        <f>COMBIN(A2172,D2172)/COMBIN(A2172-B2172,D2172)</f>
        <v/>
      </c>
      <c r="F2172" s="11">
        <f>ROUNDUP(E2172*Controls!$B$4,4)</f>
        <v/>
      </c>
      <c r="G2172" s="12">
        <f>F2172/E2172</f>
        <v/>
      </c>
      <c r="H2172" s="10">
        <f>(A2172-B2172-(D2172-1))/(A2172-(D2172-1))</f>
        <v/>
      </c>
      <c r="I2172" s="9">
        <f>A2172&amp;'x'&amp;B2172</f>
        <v/>
      </c>
      <c r="J2172" s="9">
        <f>IF(AND(G2172&gt;0.9,G2172&lt;1),"OK","CHECK")</f>
        <v/>
      </c>
    </row>
    <row r="2173">
      <c r="A2173" s="9" t="n">
        <v>49</v>
      </c>
      <c r="B2173" s="9" t="n">
        <v>35</v>
      </c>
      <c r="C2173" s="9" t="n">
        <v>14</v>
      </c>
      <c r="D2173" s="9" t="n">
        <v>13</v>
      </c>
      <c r="E2173" s="10">
        <f>COMBIN(A2173,D2173)/COMBIN(A2173-B2173,D2173)</f>
        <v/>
      </c>
      <c r="F2173" s="11">
        <f>ROUNDUP(E2173*Controls!$B$4,4)</f>
        <v/>
      </c>
      <c r="G2173" s="12">
        <f>F2173/E2173</f>
        <v/>
      </c>
      <c r="H2173" s="10">
        <f>(A2173-B2173-(D2173-1))/(A2173-(D2173-1))</f>
        <v/>
      </c>
      <c r="I2173" s="9">
        <f>A2173&amp;'x'&amp;B2173</f>
        <v/>
      </c>
      <c r="J2173" s="9">
        <f>IF(AND(G2173&gt;0.9,G2173&lt;1),"OK","CHECK")</f>
        <v/>
      </c>
    </row>
    <row r="2174">
      <c r="A2174" s="9" t="n">
        <v>49</v>
      </c>
      <c r="B2174" s="9" t="n">
        <v>35</v>
      </c>
      <c r="C2174" s="9" t="n">
        <v>14</v>
      </c>
      <c r="D2174" s="9" t="n">
        <v>14</v>
      </c>
      <c r="E2174" s="10">
        <f>COMBIN(A2174,D2174)/COMBIN(A2174-B2174,D2174)</f>
        <v/>
      </c>
      <c r="F2174" s="11">
        <f>ROUNDUP(E2174*Controls!$B$4,4)</f>
        <v/>
      </c>
      <c r="G2174" s="12">
        <f>F2174/E2174</f>
        <v/>
      </c>
      <c r="H2174" s="10">
        <f>(A2174-B2174-(D2174-1))/(A2174-(D2174-1))</f>
        <v/>
      </c>
      <c r="I2174" s="9">
        <f>A2174&amp;'x'&amp;B2174</f>
        <v/>
      </c>
      <c r="J2174" s="9">
        <f>IF(AND(G2174&gt;0.9,G2174&lt;1),"OK","CHECK")</f>
        <v/>
      </c>
    </row>
    <row r="2175">
      <c r="A2175" s="9" t="n">
        <v>49</v>
      </c>
      <c r="B2175" s="9" t="n">
        <v>36</v>
      </c>
      <c r="C2175" s="9" t="n">
        <v>13</v>
      </c>
      <c r="D2175" s="9" t="n">
        <v>1</v>
      </c>
      <c r="E2175" s="10">
        <f>COMBIN(A2175,D2175)/COMBIN(A2175-B2175,D2175)</f>
        <v/>
      </c>
      <c r="F2175" s="11">
        <f>ROUNDUP(E2175*Controls!$B$4,4)</f>
        <v/>
      </c>
      <c r="G2175" s="12">
        <f>F2175/E2175</f>
        <v/>
      </c>
      <c r="H2175" s="10">
        <f>(A2175-B2175-(D2175-1))/(A2175-(D2175-1))</f>
        <v/>
      </c>
      <c r="I2175" s="9">
        <f>A2175&amp;'x'&amp;B2175</f>
        <v/>
      </c>
      <c r="J2175" s="9">
        <f>IF(AND(G2175&gt;0.9,G2175&lt;1),"OK","CHECK")</f>
        <v/>
      </c>
    </row>
    <row r="2176">
      <c r="A2176" s="9" t="n">
        <v>49</v>
      </c>
      <c r="B2176" s="9" t="n">
        <v>36</v>
      </c>
      <c r="C2176" s="9" t="n">
        <v>13</v>
      </c>
      <c r="D2176" s="9" t="n">
        <v>2</v>
      </c>
      <c r="E2176" s="10">
        <f>COMBIN(A2176,D2176)/COMBIN(A2176-B2176,D2176)</f>
        <v/>
      </c>
      <c r="F2176" s="11">
        <f>ROUNDUP(E2176*Controls!$B$4,4)</f>
        <v/>
      </c>
      <c r="G2176" s="12">
        <f>F2176/E2176</f>
        <v/>
      </c>
      <c r="H2176" s="10">
        <f>(A2176-B2176-(D2176-1))/(A2176-(D2176-1))</f>
        <v/>
      </c>
      <c r="I2176" s="9">
        <f>A2176&amp;'x'&amp;B2176</f>
        <v/>
      </c>
      <c r="J2176" s="9">
        <f>IF(AND(G2176&gt;0.9,G2176&lt;1),"OK","CHECK")</f>
        <v/>
      </c>
    </row>
    <row r="2177">
      <c r="A2177" s="9" t="n">
        <v>49</v>
      </c>
      <c r="B2177" s="9" t="n">
        <v>36</v>
      </c>
      <c r="C2177" s="9" t="n">
        <v>13</v>
      </c>
      <c r="D2177" s="9" t="n">
        <v>3</v>
      </c>
      <c r="E2177" s="10">
        <f>COMBIN(A2177,D2177)/COMBIN(A2177-B2177,D2177)</f>
        <v/>
      </c>
      <c r="F2177" s="11">
        <f>ROUNDUP(E2177*Controls!$B$4,4)</f>
        <v/>
      </c>
      <c r="G2177" s="12">
        <f>F2177/E2177</f>
        <v/>
      </c>
      <c r="H2177" s="10">
        <f>(A2177-B2177-(D2177-1))/(A2177-(D2177-1))</f>
        <v/>
      </c>
      <c r="I2177" s="9">
        <f>A2177&amp;'x'&amp;B2177</f>
        <v/>
      </c>
      <c r="J2177" s="9">
        <f>IF(AND(G2177&gt;0.9,G2177&lt;1),"OK","CHECK")</f>
        <v/>
      </c>
    </row>
    <row r="2178">
      <c r="A2178" s="9" t="n">
        <v>49</v>
      </c>
      <c r="B2178" s="9" t="n">
        <v>36</v>
      </c>
      <c r="C2178" s="9" t="n">
        <v>13</v>
      </c>
      <c r="D2178" s="9" t="n">
        <v>4</v>
      </c>
      <c r="E2178" s="10">
        <f>COMBIN(A2178,D2178)/COMBIN(A2178-B2178,D2178)</f>
        <v/>
      </c>
      <c r="F2178" s="11">
        <f>ROUNDUP(E2178*Controls!$B$4,4)</f>
        <v/>
      </c>
      <c r="G2178" s="12">
        <f>F2178/E2178</f>
        <v/>
      </c>
      <c r="H2178" s="10">
        <f>(A2178-B2178-(D2178-1))/(A2178-(D2178-1))</f>
        <v/>
      </c>
      <c r="I2178" s="9">
        <f>A2178&amp;'x'&amp;B2178</f>
        <v/>
      </c>
      <c r="J2178" s="9">
        <f>IF(AND(G2178&gt;0.9,G2178&lt;1),"OK","CHECK")</f>
        <v/>
      </c>
    </row>
    <row r="2179">
      <c r="A2179" s="9" t="n">
        <v>49</v>
      </c>
      <c r="B2179" s="9" t="n">
        <v>36</v>
      </c>
      <c r="C2179" s="9" t="n">
        <v>13</v>
      </c>
      <c r="D2179" s="9" t="n">
        <v>5</v>
      </c>
      <c r="E2179" s="10">
        <f>COMBIN(A2179,D2179)/COMBIN(A2179-B2179,D2179)</f>
        <v/>
      </c>
      <c r="F2179" s="11">
        <f>ROUNDUP(E2179*Controls!$B$4,4)</f>
        <v/>
      </c>
      <c r="G2179" s="12">
        <f>F2179/E2179</f>
        <v/>
      </c>
      <c r="H2179" s="10">
        <f>(A2179-B2179-(D2179-1))/(A2179-(D2179-1))</f>
        <v/>
      </c>
      <c r="I2179" s="9">
        <f>A2179&amp;'x'&amp;B2179</f>
        <v/>
      </c>
      <c r="J2179" s="9">
        <f>IF(AND(G2179&gt;0.9,G2179&lt;1),"OK","CHECK")</f>
        <v/>
      </c>
    </row>
    <row r="2180">
      <c r="A2180" s="9" t="n">
        <v>49</v>
      </c>
      <c r="B2180" s="9" t="n">
        <v>36</v>
      </c>
      <c r="C2180" s="9" t="n">
        <v>13</v>
      </c>
      <c r="D2180" s="9" t="n">
        <v>6</v>
      </c>
      <c r="E2180" s="10">
        <f>COMBIN(A2180,D2180)/COMBIN(A2180-B2180,D2180)</f>
        <v/>
      </c>
      <c r="F2180" s="11">
        <f>ROUNDUP(E2180*Controls!$B$4,4)</f>
        <v/>
      </c>
      <c r="G2180" s="12">
        <f>F2180/E2180</f>
        <v/>
      </c>
      <c r="H2180" s="10">
        <f>(A2180-B2180-(D2180-1))/(A2180-(D2180-1))</f>
        <v/>
      </c>
      <c r="I2180" s="9">
        <f>A2180&amp;'x'&amp;B2180</f>
        <v/>
      </c>
      <c r="J2180" s="9">
        <f>IF(AND(G2180&gt;0.9,G2180&lt;1),"OK","CHECK")</f>
        <v/>
      </c>
    </row>
    <row r="2181">
      <c r="A2181" s="9" t="n">
        <v>49</v>
      </c>
      <c r="B2181" s="9" t="n">
        <v>36</v>
      </c>
      <c r="C2181" s="9" t="n">
        <v>13</v>
      </c>
      <c r="D2181" s="9" t="n">
        <v>7</v>
      </c>
      <c r="E2181" s="10">
        <f>COMBIN(A2181,D2181)/COMBIN(A2181-B2181,D2181)</f>
        <v/>
      </c>
      <c r="F2181" s="11">
        <f>ROUNDUP(E2181*Controls!$B$4,4)</f>
        <v/>
      </c>
      <c r="G2181" s="12">
        <f>F2181/E2181</f>
        <v/>
      </c>
      <c r="H2181" s="10">
        <f>(A2181-B2181-(D2181-1))/(A2181-(D2181-1))</f>
        <v/>
      </c>
      <c r="I2181" s="9">
        <f>A2181&amp;'x'&amp;B2181</f>
        <v/>
      </c>
      <c r="J2181" s="9">
        <f>IF(AND(G2181&gt;0.9,G2181&lt;1),"OK","CHECK")</f>
        <v/>
      </c>
    </row>
    <row r="2182">
      <c r="A2182" s="9" t="n">
        <v>49</v>
      </c>
      <c r="B2182" s="9" t="n">
        <v>36</v>
      </c>
      <c r="C2182" s="9" t="n">
        <v>13</v>
      </c>
      <c r="D2182" s="9" t="n">
        <v>8</v>
      </c>
      <c r="E2182" s="10">
        <f>COMBIN(A2182,D2182)/COMBIN(A2182-B2182,D2182)</f>
        <v/>
      </c>
      <c r="F2182" s="11">
        <f>ROUNDUP(E2182*Controls!$B$4,4)</f>
        <v/>
      </c>
      <c r="G2182" s="12">
        <f>F2182/E2182</f>
        <v/>
      </c>
      <c r="H2182" s="10">
        <f>(A2182-B2182-(D2182-1))/(A2182-(D2182-1))</f>
        <v/>
      </c>
      <c r="I2182" s="9">
        <f>A2182&amp;'x'&amp;B2182</f>
        <v/>
      </c>
      <c r="J2182" s="9">
        <f>IF(AND(G2182&gt;0.9,G2182&lt;1),"OK","CHECK")</f>
        <v/>
      </c>
    </row>
    <row r="2183">
      <c r="A2183" s="9" t="n">
        <v>49</v>
      </c>
      <c r="B2183" s="9" t="n">
        <v>36</v>
      </c>
      <c r="C2183" s="9" t="n">
        <v>13</v>
      </c>
      <c r="D2183" s="9" t="n">
        <v>9</v>
      </c>
      <c r="E2183" s="10">
        <f>COMBIN(A2183,D2183)/COMBIN(A2183-B2183,D2183)</f>
        <v/>
      </c>
      <c r="F2183" s="11">
        <f>ROUNDUP(E2183*Controls!$B$4,4)</f>
        <v/>
      </c>
      <c r="G2183" s="12">
        <f>F2183/E2183</f>
        <v/>
      </c>
      <c r="H2183" s="10">
        <f>(A2183-B2183-(D2183-1))/(A2183-(D2183-1))</f>
        <v/>
      </c>
      <c r="I2183" s="9">
        <f>A2183&amp;'x'&amp;B2183</f>
        <v/>
      </c>
      <c r="J2183" s="9">
        <f>IF(AND(G2183&gt;0.9,G2183&lt;1),"OK","CHECK")</f>
        <v/>
      </c>
    </row>
    <row r="2184">
      <c r="A2184" s="9" t="n">
        <v>49</v>
      </c>
      <c r="B2184" s="9" t="n">
        <v>36</v>
      </c>
      <c r="C2184" s="9" t="n">
        <v>13</v>
      </c>
      <c r="D2184" s="9" t="n">
        <v>10</v>
      </c>
      <c r="E2184" s="10">
        <f>COMBIN(A2184,D2184)/COMBIN(A2184-B2184,D2184)</f>
        <v/>
      </c>
      <c r="F2184" s="11">
        <f>ROUNDUP(E2184*Controls!$B$4,4)</f>
        <v/>
      </c>
      <c r="G2184" s="12">
        <f>F2184/E2184</f>
        <v/>
      </c>
      <c r="H2184" s="10">
        <f>(A2184-B2184-(D2184-1))/(A2184-(D2184-1))</f>
        <v/>
      </c>
      <c r="I2184" s="9">
        <f>A2184&amp;'x'&amp;B2184</f>
        <v/>
      </c>
      <c r="J2184" s="9">
        <f>IF(AND(G2184&gt;0.9,G2184&lt;1),"OK","CHECK")</f>
        <v/>
      </c>
    </row>
    <row r="2185">
      <c r="A2185" s="9" t="n">
        <v>49</v>
      </c>
      <c r="B2185" s="9" t="n">
        <v>36</v>
      </c>
      <c r="C2185" s="9" t="n">
        <v>13</v>
      </c>
      <c r="D2185" s="9" t="n">
        <v>11</v>
      </c>
      <c r="E2185" s="10">
        <f>COMBIN(A2185,D2185)/COMBIN(A2185-B2185,D2185)</f>
        <v/>
      </c>
      <c r="F2185" s="11">
        <f>ROUNDUP(E2185*Controls!$B$4,4)</f>
        <v/>
      </c>
      <c r="G2185" s="12">
        <f>F2185/E2185</f>
        <v/>
      </c>
      <c r="H2185" s="10">
        <f>(A2185-B2185-(D2185-1))/(A2185-(D2185-1))</f>
        <v/>
      </c>
      <c r="I2185" s="9">
        <f>A2185&amp;'x'&amp;B2185</f>
        <v/>
      </c>
      <c r="J2185" s="9">
        <f>IF(AND(G2185&gt;0.9,G2185&lt;1),"OK","CHECK")</f>
        <v/>
      </c>
    </row>
    <row r="2186">
      <c r="A2186" s="9" t="n">
        <v>49</v>
      </c>
      <c r="B2186" s="9" t="n">
        <v>36</v>
      </c>
      <c r="C2186" s="9" t="n">
        <v>13</v>
      </c>
      <c r="D2186" s="9" t="n">
        <v>12</v>
      </c>
      <c r="E2186" s="10">
        <f>COMBIN(A2186,D2186)/COMBIN(A2186-B2186,D2186)</f>
        <v/>
      </c>
      <c r="F2186" s="11">
        <f>ROUNDUP(E2186*Controls!$B$4,4)</f>
        <v/>
      </c>
      <c r="G2186" s="12">
        <f>F2186/E2186</f>
        <v/>
      </c>
      <c r="H2186" s="10">
        <f>(A2186-B2186-(D2186-1))/(A2186-(D2186-1))</f>
        <v/>
      </c>
      <c r="I2186" s="9">
        <f>A2186&amp;'x'&amp;B2186</f>
        <v/>
      </c>
      <c r="J2186" s="9">
        <f>IF(AND(G2186&gt;0.9,G2186&lt;1),"OK","CHECK")</f>
        <v/>
      </c>
    </row>
    <row r="2187">
      <c r="A2187" s="9" t="n">
        <v>49</v>
      </c>
      <c r="B2187" s="9" t="n">
        <v>36</v>
      </c>
      <c r="C2187" s="9" t="n">
        <v>13</v>
      </c>
      <c r="D2187" s="9" t="n">
        <v>13</v>
      </c>
      <c r="E2187" s="10">
        <f>COMBIN(A2187,D2187)/COMBIN(A2187-B2187,D2187)</f>
        <v/>
      </c>
      <c r="F2187" s="11">
        <f>ROUNDUP(E2187*Controls!$B$4,4)</f>
        <v/>
      </c>
      <c r="G2187" s="12">
        <f>F2187/E2187</f>
        <v/>
      </c>
      <c r="H2187" s="10">
        <f>(A2187-B2187-(D2187-1))/(A2187-(D2187-1))</f>
        <v/>
      </c>
      <c r="I2187" s="9">
        <f>A2187&amp;'x'&amp;B2187</f>
        <v/>
      </c>
      <c r="J2187" s="9">
        <f>IF(AND(G2187&gt;0.9,G2187&lt;1),"OK","CHECK")</f>
        <v/>
      </c>
    </row>
    <row r="2188">
      <c r="A2188" s="9" t="n">
        <v>49</v>
      </c>
      <c r="B2188" s="9" t="n">
        <v>37</v>
      </c>
      <c r="C2188" s="9" t="n">
        <v>12</v>
      </c>
      <c r="D2188" s="9" t="n">
        <v>1</v>
      </c>
      <c r="E2188" s="10">
        <f>COMBIN(A2188,D2188)/COMBIN(A2188-B2188,D2188)</f>
        <v/>
      </c>
      <c r="F2188" s="11">
        <f>ROUNDUP(E2188*Controls!$B$4,4)</f>
        <v/>
      </c>
      <c r="G2188" s="12">
        <f>F2188/E2188</f>
        <v/>
      </c>
      <c r="H2188" s="10">
        <f>(A2188-B2188-(D2188-1))/(A2188-(D2188-1))</f>
        <v/>
      </c>
      <c r="I2188" s="9">
        <f>A2188&amp;'x'&amp;B2188</f>
        <v/>
      </c>
      <c r="J2188" s="9">
        <f>IF(AND(G2188&gt;0.9,G2188&lt;1),"OK","CHECK")</f>
        <v/>
      </c>
    </row>
    <row r="2189">
      <c r="A2189" s="9" t="n">
        <v>49</v>
      </c>
      <c r="B2189" s="9" t="n">
        <v>37</v>
      </c>
      <c r="C2189" s="9" t="n">
        <v>12</v>
      </c>
      <c r="D2189" s="9" t="n">
        <v>2</v>
      </c>
      <c r="E2189" s="10">
        <f>COMBIN(A2189,D2189)/COMBIN(A2189-B2189,D2189)</f>
        <v/>
      </c>
      <c r="F2189" s="11">
        <f>ROUNDUP(E2189*Controls!$B$4,4)</f>
        <v/>
      </c>
      <c r="G2189" s="12">
        <f>F2189/E2189</f>
        <v/>
      </c>
      <c r="H2189" s="10">
        <f>(A2189-B2189-(D2189-1))/(A2189-(D2189-1))</f>
        <v/>
      </c>
      <c r="I2189" s="9">
        <f>A2189&amp;'x'&amp;B2189</f>
        <v/>
      </c>
      <c r="J2189" s="9">
        <f>IF(AND(G2189&gt;0.9,G2189&lt;1),"OK","CHECK")</f>
        <v/>
      </c>
    </row>
    <row r="2190">
      <c r="A2190" s="9" t="n">
        <v>49</v>
      </c>
      <c r="B2190" s="9" t="n">
        <v>37</v>
      </c>
      <c r="C2190" s="9" t="n">
        <v>12</v>
      </c>
      <c r="D2190" s="9" t="n">
        <v>3</v>
      </c>
      <c r="E2190" s="10">
        <f>COMBIN(A2190,D2190)/COMBIN(A2190-B2190,D2190)</f>
        <v/>
      </c>
      <c r="F2190" s="11">
        <f>ROUNDUP(E2190*Controls!$B$4,4)</f>
        <v/>
      </c>
      <c r="G2190" s="12">
        <f>F2190/E2190</f>
        <v/>
      </c>
      <c r="H2190" s="10">
        <f>(A2190-B2190-(D2190-1))/(A2190-(D2190-1))</f>
        <v/>
      </c>
      <c r="I2190" s="9">
        <f>A2190&amp;'x'&amp;B2190</f>
        <v/>
      </c>
      <c r="J2190" s="9">
        <f>IF(AND(G2190&gt;0.9,G2190&lt;1),"OK","CHECK")</f>
        <v/>
      </c>
    </row>
    <row r="2191">
      <c r="A2191" s="9" t="n">
        <v>49</v>
      </c>
      <c r="B2191" s="9" t="n">
        <v>37</v>
      </c>
      <c r="C2191" s="9" t="n">
        <v>12</v>
      </c>
      <c r="D2191" s="9" t="n">
        <v>4</v>
      </c>
      <c r="E2191" s="10">
        <f>COMBIN(A2191,D2191)/COMBIN(A2191-B2191,D2191)</f>
        <v/>
      </c>
      <c r="F2191" s="11">
        <f>ROUNDUP(E2191*Controls!$B$4,4)</f>
        <v/>
      </c>
      <c r="G2191" s="12">
        <f>F2191/E2191</f>
        <v/>
      </c>
      <c r="H2191" s="10">
        <f>(A2191-B2191-(D2191-1))/(A2191-(D2191-1))</f>
        <v/>
      </c>
      <c r="I2191" s="9">
        <f>A2191&amp;'x'&amp;B2191</f>
        <v/>
      </c>
      <c r="J2191" s="9">
        <f>IF(AND(G2191&gt;0.9,G2191&lt;1),"OK","CHECK")</f>
        <v/>
      </c>
    </row>
    <row r="2192">
      <c r="A2192" s="9" t="n">
        <v>49</v>
      </c>
      <c r="B2192" s="9" t="n">
        <v>37</v>
      </c>
      <c r="C2192" s="9" t="n">
        <v>12</v>
      </c>
      <c r="D2192" s="9" t="n">
        <v>5</v>
      </c>
      <c r="E2192" s="10">
        <f>COMBIN(A2192,D2192)/COMBIN(A2192-B2192,D2192)</f>
        <v/>
      </c>
      <c r="F2192" s="11">
        <f>ROUNDUP(E2192*Controls!$B$4,4)</f>
        <v/>
      </c>
      <c r="G2192" s="12">
        <f>F2192/E2192</f>
        <v/>
      </c>
      <c r="H2192" s="10">
        <f>(A2192-B2192-(D2192-1))/(A2192-(D2192-1))</f>
        <v/>
      </c>
      <c r="I2192" s="9">
        <f>A2192&amp;'x'&amp;B2192</f>
        <v/>
      </c>
      <c r="J2192" s="9">
        <f>IF(AND(G2192&gt;0.9,G2192&lt;1),"OK","CHECK")</f>
        <v/>
      </c>
    </row>
    <row r="2193">
      <c r="A2193" s="9" t="n">
        <v>49</v>
      </c>
      <c r="B2193" s="9" t="n">
        <v>37</v>
      </c>
      <c r="C2193" s="9" t="n">
        <v>12</v>
      </c>
      <c r="D2193" s="9" t="n">
        <v>6</v>
      </c>
      <c r="E2193" s="10">
        <f>COMBIN(A2193,D2193)/COMBIN(A2193-B2193,D2193)</f>
        <v/>
      </c>
      <c r="F2193" s="11">
        <f>ROUNDUP(E2193*Controls!$B$4,4)</f>
        <v/>
      </c>
      <c r="G2193" s="12">
        <f>F2193/E2193</f>
        <v/>
      </c>
      <c r="H2193" s="10">
        <f>(A2193-B2193-(D2193-1))/(A2193-(D2193-1))</f>
        <v/>
      </c>
      <c r="I2193" s="9">
        <f>A2193&amp;'x'&amp;B2193</f>
        <v/>
      </c>
      <c r="J2193" s="9">
        <f>IF(AND(G2193&gt;0.9,G2193&lt;1),"OK","CHECK")</f>
        <v/>
      </c>
    </row>
    <row r="2194">
      <c r="A2194" s="9" t="n">
        <v>49</v>
      </c>
      <c r="B2194" s="9" t="n">
        <v>37</v>
      </c>
      <c r="C2194" s="9" t="n">
        <v>12</v>
      </c>
      <c r="D2194" s="9" t="n">
        <v>7</v>
      </c>
      <c r="E2194" s="10">
        <f>COMBIN(A2194,D2194)/COMBIN(A2194-B2194,D2194)</f>
        <v/>
      </c>
      <c r="F2194" s="11">
        <f>ROUNDUP(E2194*Controls!$B$4,4)</f>
        <v/>
      </c>
      <c r="G2194" s="12">
        <f>F2194/E2194</f>
        <v/>
      </c>
      <c r="H2194" s="10">
        <f>(A2194-B2194-(D2194-1))/(A2194-(D2194-1))</f>
        <v/>
      </c>
      <c r="I2194" s="9">
        <f>A2194&amp;'x'&amp;B2194</f>
        <v/>
      </c>
      <c r="J2194" s="9">
        <f>IF(AND(G2194&gt;0.9,G2194&lt;1),"OK","CHECK")</f>
        <v/>
      </c>
    </row>
    <row r="2195">
      <c r="A2195" s="9" t="n">
        <v>49</v>
      </c>
      <c r="B2195" s="9" t="n">
        <v>37</v>
      </c>
      <c r="C2195" s="9" t="n">
        <v>12</v>
      </c>
      <c r="D2195" s="9" t="n">
        <v>8</v>
      </c>
      <c r="E2195" s="10">
        <f>COMBIN(A2195,D2195)/COMBIN(A2195-B2195,D2195)</f>
        <v/>
      </c>
      <c r="F2195" s="11">
        <f>ROUNDUP(E2195*Controls!$B$4,4)</f>
        <v/>
      </c>
      <c r="G2195" s="12">
        <f>F2195/E2195</f>
        <v/>
      </c>
      <c r="H2195" s="10">
        <f>(A2195-B2195-(D2195-1))/(A2195-(D2195-1))</f>
        <v/>
      </c>
      <c r="I2195" s="9">
        <f>A2195&amp;'x'&amp;B2195</f>
        <v/>
      </c>
      <c r="J2195" s="9">
        <f>IF(AND(G2195&gt;0.9,G2195&lt;1),"OK","CHECK")</f>
        <v/>
      </c>
    </row>
    <row r="2196">
      <c r="A2196" s="9" t="n">
        <v>49</v>
      </c>
      <c r="B2196" s="9" t="n">
        <v>37</v>
      </c>
      <c r="C2196" s="9" t="n">
        <v>12</v>
      </c>
      <c r="D2196" s="9" t="n">
        <v>9</v>
      </c>
      <c r="E2196" s="10">
        <f>COMBIN(A2196,D2196)/COMBIN(A2196-B2196,D2196)</f>
        <v/>
      </c>
      <c r="F2196" s="11">
        <f>ROUNDUP(E2196*Controls!$B$4,4)</f>
        <v/>
      </c>
      <c r="G2196" s="12">
        <f>F2196/E2196</f>
        <v/>
      </c>
      <c r="H2196" s="10">
        <f>(A2196-B2196-(D2196-1))/(A2196-(D2196-1))</f>
        <v/>
      </c>
      <c r="I2196" s="9">
        <f>A2196&amp;'x'&amp;B2196</f>
        <v/>
      </c>
      <c r="J2196" s="9">
        <f>IF(AND(G2196&gt;0.9,G2196&lt;1),"OK","CHECK")</f>
        <v/>
      </c>
    </row>
    <row r="2197">
      <c r="A2197" s="9" t="n">
        <v>49</v>
      </c>
      <c r="B2197" s="9" t="n">
        <v>37</v>
      </c>
      <c r="C2197" s="9" t="n">
        <v>12</v>
      </c>
      <c r="D2197" s="9" t="n">
        <v>10</v>
      </c>
      <c r="E2197" s="10">
        <f>COMBIN(A2197,D2197)/COMBIN(A2197-B2197,D2197)</f>
        <v/>
      </c>
      <c r="F2197" s="11">
        <f>ROUNDUP(E2197*Controls!$B$4,4)</f>
        <v/>
      </c>
      <c r="G2197" s="12">
        <f>F2197/E2197</f>
        <v/>
      </c>
      <c r="H2197" s="10">
        <f>(A2197-B2197-(D2197-1))/(A2197-(D2197-1))</f>
        <v/>
      </c>
      <c r="I2197" s="9">
        <f>A2197&amp;'x'&amp;B2197</f>
        <v/>
      </c>
      <c r="J2197" s="9">
        <f>IF(AND(G2197&gt;0.9,G2197&lt;1),"OK","CHECK")</f>
        <v/>
      </c>
    </row>
    <row r="2198">
      <c r="A2198" s="9" t="n">
        <v>49</v>
      </c>
      <c r="B2198" s="9" t="n">
        <v>37</v>
      </c>
      <c r="C2198" s="9" t="n">
        <v>12</v>
      </c>
      <c r="D2198" s="9" t="n">
        <v>11</v>
      </c>
      <c r="E2198" s="10">
        <f>COMBIN(A2198,D2198)/COMBIN(A2198-B2198,D2198)</f>
        <v/>
      </c>
      <c r="F2198" s="11">
        <f>ROUNDUP(E2198*Controls!$B$4,4)</f>
        <v/>
      </c>
      <c r="G2198" s="12">
        <f>F2198/E2198</f>
        <v/>
      </c>
      <c r="H2198" s="10">
        <f>(A2198-B2198-(D2198-1))/(A2198-(D2198-1))</f>
        <v/>
      </c>
      <c r="I2198" s="9">
        <f>A2198&amp;'x'&amp;B2198</f>
        <v/>
      </c>
      <c r="J2198" s="9">
        <f>IF(AND(G2198&gt;0.9,G2198&lt;1),"OK","CHECK")</f>
        <v/>
      </c>
    </row>
    <row r="2199">
      <c r="A2199" s="9" t="n">
        <v>49</v>
      </c>
      <c r="B2199" s="9" t="n">
        <v>37</v>
      </c>
      <c r="C2199" s="9" t="n">
        <v>12</v>
      </c>
      <c r="D2199" s="9" t="n">
        <v>12</v>
      </c>
      <c r="E2199" s="10">
        <f>COMBIN(A2199,D2199)/COMBIN(A2199-B2199,D2199)</f>
        <v/>
      </c>
      <c r="F2199" s="11">
        <f>ROUNDUP(E2199*Controls!$B$4,4)</f>
        <v/>
      </c>
      <c r="G2199" s="12">
        <f>F2199/E2199</f>
        <v/>
      </c>
      <c r="H2199" s="10">
        <f>(A2199-B2199-(D2199-1))/(A2199-(D2199-1))</f>
        <v/>
      </c>
      <c r="I2199" s="9">
        <f>A2199&amp;'x'&amp;B2199</f>
        <v/>
      </c>
      <c r="J2199" s="9">
        <f>IF(AND(G2199&gt;0.9,G2199&lt;1),"OK","CHECK")</f>
        <v/>
      </c>
    </row>
    <row r="2200">
      <c r="A2200" s="9" t="n">
        <v>49</v>
      </c>
      <c r="B2200" s="9" t="n">
        <v>38</v>
      </c>
      <c r="C2200" s="9" t="n">
        <v>11</v>
      </c>
      <c r="D2200" s="9" t="n">
        <v>1</v>
      </c>
      <c r="E2200" s="10">
        <f>COMBIN(A2200,D2200)/COMBIN(A2200-B2200,D2200)</f>
        <v/>
      </c>
      <c r="F2200" s="11">
        <f>ROUNDUP(E2200*Controls!$B$4,4)</f>
        <v/>
      </c>
      <c r="G2200" s="12">
        <f>F2200/E2200</f>
        <v/>
      </c>
      <c r="H2200" s="10">
        <f>(A2200-B2200-(D2200-1))/(A2200-(D2200-1))</f>
        <v/>
      </c>
      <c r="I2200" s="9">
        <f>A2200&amp;'x'&amp;B2200</f>
        <v/>
      </c>
      <c r="J2200" s="9">
        <f>IF(AND(G2200&gt;0.9,G2200&lt;1),"OK","CHECK")</f>
        <v/>
      </c>
    </row>
    <row r="2201">
      <c r="A2201" s="9" t="n">
        <v>49</v>
      </c>
      <c r="B2201" s="9" t="n">
        <v>38</v>
      </c>
      <c r="C2201" s="9" t="n">
        <v>11</v>
      </c>
      <c r="D2201" s="9" t="n">
        <v>2</v>
      </c>
      <c r="E2201" s="10">
        <f>COMBIN(A2201,D2201)/COMBIN(A2201-B2201,D2201)</f>
        <v/>
      </c>
      <c r="F2201" s="11">
        <f>ROUNDUP(E2201*Controls!$B$4,4)</f>
        <v/>
      </c>
      <c r="G2201" s="12">
        <f>F2201/E2201</f>
        <v/>
      </c>
      <c r="H2201" s="10">
        <f>(A2201-B2201-(D2201-1))/(A2201-(D2201-1))</f>
        <v/>
      </c>
      <c r="I2201" s="9">
        <f>A2201&amp;'x'&amp;B2201</f>
        <v/>
      </c>
      <c r="J2201" s="9">
        <f>IF(AND(G2201&gt;0.9,G2201&lt;1),"OK","CHECK")</f>
        <v/>
      </c>
    </row>
    <row r="2202">
      <c r="A2202" s="9" t="n">
        <v>49</v>
      </c>
      <c r="B2202" s="9" t="n">
        <v>38</v>
      </c>
      <c r="C2202" s="9" t="n">
        <v>11</v>
      </c>
      <c r="D2202" s="9" t="n">
        <v>3</v>
      </c>
      <c r="E2202" s="10">
        <f>COMBIN(A2202,D2202)/COMBIN(A2202-B2202,D2202)</f>
        <v/>
      </c>
      <c r="F2202" s="11">
        <f>ROUNDUP(E2202*Controls!$B$4,4)</f>
        <v/>
      </c>
      <c r="G2202" s="12">
        <f>F2202/E2202</f>
        <v/>
      </c>
      <c r="H2202" s="10">
        <f>(A2202-B2202-(D2202-1))/(A2202-(D2202-1))</f>
        <v/>
      </c>
      <c r="I2202" s="9">
        <f>A2202&amp;'x'&amp;B2202</f>
        <v/>
      </c>
      <c r="J2202" s="9">
        <f>IF(AND(G2202&gt;0.9,G2202&lt;1),"OK","CHECK")</f>
        <v/>
      </c>
    </row>
    <row r="2203">
      <c r="A2203" s="9" t="n">
        <v>49</v>
      </c>
      <c r="B2203" s="9" t="n">
        <v>38</v>
      </c>
      <c r="C2203" s="9" t="n">
        <v>11</v>
      </c>
      <c r="D2203" s="9" t="n">
        <v>4</v>
      </c>
      <c r="E2203" s="10">
        <f>COMBIN(A2203,D2203)/COMBIN(A2203-B2203,D2203)</f>
        <v/>
      </c>
      <c r="F2203" s="11">
        <f>ROUNDUP(E2203*Controls!$B$4,4)</f>
        <v/>
      </c>
      <c r="G2203" s="12">
        <f>F2203/E2203</f>
        <v/>
      </c>
      <c r="H2203" s="10">
        <f>(A2203-B2203-(D2203-1))/(A2203-(D2203-1))</f>
        <v/>
      </c>
      <c r="I2203" s="9">
        <f>A2203&amp;'x'&amp;B2203</f>
        <v/>
      </c>
      <c r="J2203" s="9">
        <f>IF(AND(G2203&gt;0.9,G2203&lt;1),"OK","CHECK")</f>
        <v/>
      </c>
    </row>
    <row r="2204">
      <c r="A2204" s="9" t="n">
        <v>49</v>
      </c>
      <c r="B2204" s="9" t="n">
        <v>38</v>
      </c>
      <c r="C2204" s="9" t="n">
        <v>11</v>
      </c>
      <c r="D2204" s="9" t="n">
        <v>5</v>
      </c>
      <c r="E2204" s="10">
        <f>COMBIN(A2204,D2204)/COMBIN(A2204-B2204,D2204)</f>
        <v/>
      </c>
      <c r="F2204" s="11">
        <f>ROUNDUP(E2204*Controls!$B$4,4)</f>
        <v/>
      </c>
      <c r="G2204" s="12">
        <f>F2204/E2204</f>
        <v/>
      </c>
      <c r="H2204" s="10">
        <f>(A2204-B2204-(D2204-1))/(A2204-(D2204-1))</f>
        <v/>
      </c>
      <c r="I2204" s="9">
        <f>A2204&amp;'x'&amp;B2204</f>
        <v/>
      </c>
      <c r="J2204" s="9">
        <f>IF(AND(G2204&gt;0.9,G2204&lt;1),"OK","CHECK")</f>
        <v/>
      </c>
    </row>
    <row r="2205">
      <c r="A2205" s="9" t="n">
        <v>49</v>
      </c>
      <c r="B2205" s="9" t="n">
        <v>38</v>
      </c>
      <c r="C2205" s="9" t="n">
        <v>11</v>
      </c>
      <c r="D2205" s="9" t="n">
        <v>6</v>
      </c>
      <c r="E2205" s="10">
        <f>COMBIN(A2205,D2205)/COMBIN(A2205-B2205,D2205)</f>
        <v/>
      </c>
      <c r="F2205" s="11">
        <f>ROUNDUP(E2205*Controls!$B$4,4)</f>
        <v/>
      </c>
      <c r="G2205" s="12">
        <f>F2205/E2205</f>
        <v/>
      </c>
      <c r="H2205" s="10">
        <f>(A2205-B2205-(D2205-1))/(A2205-(D2205-1))</f>
        <v/>
      </c>
      <c r="I2205" s="9">
        <f>A2205&amp;'x'&amp;B2205</f>
        <v/>
      </c>
      <c r="J2205" s="9">
        <f>IF(AND(G2205&gt;0.9,G2205&lt;1),"OK","CHECK")</f>
        <v/>
      </c>
    </row>
    <row r="2206">
      <c r="A2206" s="9" t="n">
        <v>49</v>
      </c>
      <c r="B2206" s="9" t="n">
        <v>38</v>
      </c>
      <c r="C2206" s="9" t="n">
        <v>11</v>
      </c>
      <c r="D2206" s="9" t="n">
        <v>7</v>
      </c>
      <c r="E2206" s="10">
        <f>COMBIN(A2206,D2206)/COMBIN(A2206-B2206,D2206)</f>
        <v/>
      </c>
      <c r="F2206" s="11">
        <f>ROUNDUP(E2206*Controls!$B$4,4)</f>
        <v/>
      </c>
      <c r="G2206" s="12">
        <f>F2206/E2206</f>
        <v/>
      </c>
      <c r="H2206" s="10">
        <f>(A2206-B2206-(D2206-1))/(A2206-(D2206-1))</f>
        <v/>
      </c>
      <c r="I2206" s="9">
        <f>A2206&amp;'x'&amp;B2206</f>
        <v/>
      </c>
      <c r="J2206" s="9">
        <f>IF(AND(G2206&gt;0.9,G2206&lt;1),"OK","CHECK")</f>
        <v/>
      </c>
    </row>
    <row r="2207">
      <c r="A2207" s="9" t="n">
        <v>49</v>
      </c>
      <c r="B2207" s="9" t="n">
        <v>38</v>
      </c>
      <c r="C2207" s="9" t="n">
        <v>11</v>
      </c>
      <c r="D2207" s="9" t="n">
        <v>8</v>
      </c>
      <c r="E2207" s="10">
        <f>COMBIN(A2207,D2207)/COMBIN(A2207-B2207,D2207)</f>
        <v/>
      </c>
      <c r="F2207" s="11">
        <f>ROUNDUP(E2207*Controls!$B$4,4)</f>
        <v/>
      </c>
      <c r="G2207" s="12">
        <f>F2207/E2207</f>
        <v/>
      </c>
      <c r="H2207" s="10">
        <f>(A2207-B2207-(D2207-1))/(A2207-(D2207-1))</f>
        <v/>
      </c>
      <c r="I2207" s="9">
        <f>A2207&amp;'x'&amp;B2207</f>
        <v/>
      </c>
      <c r="J2207" s="9">
        <f>IF(AND(G2207&gt;0.9,G2207&lt;1),"OK","CHECK")</f>
        <v/>
      </c>
    </row>
    <row r="2208">
      <c r="A2208" s="9" t="n">
        <v>49</v>
      </c>
      <c r="B2208" s="9" t="n">
        <v>38</v>
      </c>
      <c r="C2208" s="9" t="n">
        <v>11</v>
      </c>
      <c r="D2208" s="9" t="n">
        <v>9</v>
      </c>
      <c r="E2208" s="10">
        <f>COMBIN(A2208,D2208)/COMBIN(A2208-B2208,D2208)</f>
        <v/>
      </c>
      <c r="F2208" s="11">
        <f>ROUNDUP(E2208*Controls!$B$4,4)</f>
        <v/>
      </c>
      <c r="G2208" s="12">
        <f>F2208/E2208</f>
        <v/>
      </c>
      <c r="H2208" s="10">
        <f>(A2208-B2208-(D2208-1))/(A2208-(D2208-1))</f>
        <v/>
      </c>
      <c r="I2208" s="9">
        <f>A2208&amp;'x'&amp;B2208</f>
        <v/>
      </c>
      <c r="J2208" s="9">
        <f>IF(AND(G2208&gt;0.9,G2208&lt;1),"OK","CHECK")</f>
        <v/>
      </c>
    </row>
    <row r="2209">
      <c r="A2209" s="9" t="n">
        <v>49</v>
      </c>
      <c r="B2209" s="9" t="n">
        <v>38</v>
      </c>
      <c r="C2209" s="9" t="n">
        <v>11</v>
      </c>
      <c r="D2209" s="9" t="n">
        <v>10</v>
      </c>
      <c r="E2209" s="10">
        <f>COMBIN(A2209,D2209)/COMBIN(A2209-B2209,D2209)</f>
        <v/>
      </c>
      <c r="F2209" s="11">
        <f>ROUNDUP(E2209*Controls!$B$4,4)</f>
        <v/>
      </c>
      <c r="G2209" s="12">
        <f>F2209/E2209</f>
        <v/>
      </c>
      <c r="H2209" s="10">
        <f>(A2209-B2209-(D2209-1))/(A2209-(D2209-1))</f>
        <v/>
      </c>
      <c r="I2209" s="9">
        <f>A2209&amp;'x'&amp;B2209</f>
        <v/>
      </c>
      <c r="J2209" s="9">
        <f>IF(AND(G2209&gt;0.9,G2209&lt;1),"OK","CHECK")</f>
        <v/>
      </c>
    </row>
    <row r="2210">
      <c r="A2210" s="9" t="n">
        <v>49</v>
      </c>
      <c r="B2210" s="9" t="n">
        <v>38</v>
      </c>
      <c r="C2210" s="9" t="n">
        <v>11</v>
      </c>
      <c r="D2210" s="9" t="n">
        <v>11</v>
      </c>
      <c r="E2210" s="10">
        <f>COMBIN(A2210,D2210)/COMBIN(A2210-B2210,D2210)</f>
        <v/>
      </c>
      <c r="F2210" s="11">
        <f>ROUNDUP(E2210*Controls!$B$4,4)</f>
        <v/>
      </c>
      <c r="G2210" s="12">
        <f>F2210/E2210</f>
        <v/>
      </c>
      <c r="H2210" s="10">
        <f>(A2210-B2210-(D2210-1))/(A2210-(D2210-1))</f>
        <v/>
      </c>
      <c r="I2210" s="9">
        <f>A2210&amp;'x'&amp;B2210</f>
        <v/>
      </c>
      <c r="J2210" s="9">
        <f>IF(AND(G2210&gt;0.9,G2210&lt;1),"OK","CHECK")</f>
        <v/>
      </c>
    </row>
    <row r="2211">
      <c r="A2211" s="9" t="n">
        <v>49</v>
      </c>
      <c r="B2211" s="9" t="n">
        <v>39</v>
      </c>
      <c r="C2211" s="9" t="n">
        <v>10</v>
      </c>
      <c r="D2211" s="9" t="n">
        <v>1</v>
      </c>
      <c r="E2211" s="10">
        <f>COMBIN(A2211,D2211)/COMBIN(A2211-B2211,D2211)</f>
        <v/>
      </c>
      <c r="F2211" s="11">
        <f>ROUNDUP(E2211*Controls!$B$4,4)</f>
        <v/>
      </c>
      <c r="G2211" s="12">
        <f>F2211/E2211</f>
        <v/>
      </c>
      <c r="H2211" s="10">
        <f>(A2211-B2211-(D2211-1))/(A2211-(D2211-1))</f>
        <v/>
      </c>
      <c r="I2211" s="9">
        <f>A2211&amp;'x'&amp;B2211</f>
        <v/>
      </c>
      <c r="J2211" s="9">
        <f>IF(AND(G2211&gt;0.9,G2211&lt;1),"OK","CHECK")</f>
        <v/>
      </c>
    </row>
    <row r="2212">
      <c r="A2212" s="9" t="n">
        <v>49</v>
      </c>
      <c r="B2212" s="9" t="n">
        <v>39</v>
      </c>
      <c r="C2212" s="9" t="n">
        <v>10</v>
      </c>
      <c r="D2212" s="9" t="n">
        <v>2</v>
      </c>
      <c r="E2212" s="10">
        <f>COMBIN(A2212,D2212)/COMBIN(A2212-B2212,D2212)</f>
        <v/>
      </c>
      <c r="F2212" s="11">
        <f>ROUNDUP(E2212*Controls!$B$4,4)</f>
        <v/>
      </c>
      <c r="G2212" s="12">
        <f>F2212/E2212</f>
        <v/>
      </c>
      <c r="H2212" s="10">
        <f>(A2212-B2212-(D2212-1))/(A2212-(D2212-1))</f>
        <v/>
      </c>
      <c r="I2212" s="9">
        <f>A2212&amp;'x'&amp;B2212</f>
        <v/>
      </c>
      <c r="J2212" s="9">
        <f>IF(AND(G2212&gt;0.9,G2212&lt;1),"OK","CHECK")</f>
        <v/>
      </c>
    </row>
    <row r="2213">
      <c r="A2213" s="9" t="n">
        <v>49</v>
      </c>
      <c r="B2213" s="9" t="n">
        <v>39</v>
      </c>
      <c r="C2213" s="9" t="n">
        <v>10</v>
      </c>
      <c r="D2213" s="9" t="n">
        <v>3</v>
      </c>
      <c r="E2213" s="10">
        <f>COMBIN(A2213,D2213)/COMBIN(A2213-B2213,D2213)</f>
        <v/>
      </c>
      <c r="F2213" s="11">
        <f>ROUNDUP(E2213*Controls!$B$4,4)</f>
        <v/>
      </c>
      <c r="G2213" s="12">
        <f>F2213/E2213</f>
        <v/>
      </c>
      <c r="H2213" s="10">
        <f>(A2213-B2213-(D2213-1))/(A2213-(D2213-1))</f>
        <v/>
      </c>
      <c r="I2213" s="9">
        <f>A2213&amp;'x'&amp;B2213</f>
        <v/>
      </c>
      <c r="J2213" s="9">
        <f>IF(AND(G2213&gt;0.9,G2213&lt;1),"OK","CHECK")</f>
        <v/>
      </c>
    </row>
    <row r="2214">
      <c r="A2214" s="9" t="n">
        <v>49</v>
      </c>
      <c r="B2214" s="9" t="n">
        <v>39</v>
      </c>
      <c r="C2214" s="9" t="n">
        <v>10</v>
      </c>
      <c r="D2214" s="9" t="n">
        <v>4</v>
      </c>
      <c r="E2214" s="10">
        <f>COMBIN(A2214,D2214)/COMBIN(A2214-B2214,D2214)</f>
        <v/>
      </c>
      <c r="F2214" s="11">
        <f>ROUNDUP(E2214*Controls!$B$4,4)</f>
        <v/>
      </c>
      <c r="G2214" s="12">
        <f>F2214/E2214</f>
        <v/>
      </c>
      <c r="H2214" s="10">
        <f>(A2214-B2214-(D2214-1))/(A2214-(D2214-1))</f>
        <v/>
      </c>
      <c r="I2214" s="9">
        <f>A2214&amp;'x'&amp;B2214</f>
        <v/>
      </c>
      <c r="J2214" s="9">
        <f>IF(AND(G2214&gt;0.9,G2214&lt;1),"OK","CHECK")</f>
        <v/>
      </c>
    </row>
    <row r="2215">
      <c r="A2215" s="9" t="n">
        <v>49</v>
      </c>
      <c r="B2215" s="9" t="n">
        <v>39</v>
      </c>
      <c r="C2215" s="9" t="n">
        <v>10</v>
      </c>
      <c r="D2215" s="9" t="n">
        <v>5</v>
      </c>
      <c r="E2215" s="10">
        <f>COMBIN(A2215,D2215)/COMBIN(A2215-B2215,D2215)</f>
        <v/>
      </c>
      <c r="F2215" s="11">
        <f>ROUNDUP(E2215*Controls!$B$4,4)</f>
        <v/>
      </c>
      <c r="G2215" s="12">
        <f>F2215/E2215</f>
        <v/>
      </c>
      <c r="H2215" s="10">
        <f>(A2215-B2215-(D2215-1))/(A2215-(D2215-1))</f>
        <v/>
      </c>
      <c r="I2215" s="9">
        <f>A2215&amp;'x'&amp;B2215</f>
        <v/>
      </c>
      <c r="J2215" s="9">
        <f>IF(AND(G2215&gt;0.9,G2215&lt;1),"OK","CHECK")</f>
        <v/>
      </c>
    </row>
    <row r="2216">
      <c r="A2216" s="9" t="n">
        <v>49</v>
      </c>
      <c r="B2216" s="9" t="n">
        <v>39</v>
      </c>
      <c r="C2216" s="9" t="n">
        <v>10</v>
      </c>
      <c r="D2216" s="9" t="n">
        <v>6</v>
      </c>
      <c r="E2216" s="10">
        <f>COMBIN(A2216,D2216)/COMBIN(A2216-B2216,D2216)</f>
        <v/>
      </c>
      <c r="F2216" s="11">
        <f>ROUNDUP(E2216*Controls!$B$4,4)</f>
        <v/>
      </c>
      <c r="G2216" s="12">
        <f>F2216/E2216</f>
        <v/>
      </c>
      <c r="H2216" s="10">
        <f>(A2216-B2216-(D2216-1))/(A2216-(D2216-1))</f>
        <v/>
      </c>
      <c r="I2216" s="9">
        <f>A2216&amp;'x'&amp;B2216</f>
        <v/>
      </c>
      <c r="J2216" s="9">
        <f>IF(AND(G2216&gt;0.9,G2216&lt;1),"OK","CHECK")</f>
        <v/>
      </c>
    </row>
    <row r="2217">
      <c r="A2217" s="9" t="n">
        <v>49</v>
      </c>
      <c r="B2217" s="9" t="n">
        <v>39</v>
      </c>
      <c r="C2217" s="9" t="n">
        <v>10</v>
      </c>
      <c r="D2217" s="9" t="n">
        <v>7</v>
      </c>
      <c r="E2217" s="10">
        <f>COMBIN(A2217,D2217)/COMBIN(A2217-B2217,D2217)</f>
        <v/>
      </c>
      <c r="F2217" s="11">
        <f>ROUNDUP(E2217*Controls!$B$4,4)</f>
        <v/>
      </c>
      <c r="G2217" s="12">
        <f>F2217/E2217</f>
        <v/>
      </c>
      <c r="H2217" s="10">
        <f>(A2217-B2217-(D2217-1))/(A2217-(D2217-1))</f>
        <v/>
      </c>
      <c r="I2217" s="9">
        <f>A2217&amp;'x'&amp;B2217</f>
        <v/>
      </c>
      <c r="J2217" s="9">
        <f>IF(AND(G2217&gt;0.9,G2217&lt;1),"OK","CHECK")</f>
        <v/>
      </c>
    </row>
    <row r="2218">
      <c r="A2218" s="9" t="n">
        <v>49</v>
      </c>
      <c r="B2218" s="9" t="n">
        <v>39</v>
      </c>
      <c r="C2218" s="9" t="n">
        <v>10</v>
      </c>
      <c r="D2218" s="9" t="n">
        <v>8</v>
      </c>
      <c r="E2218" s="10">
        <f>COMBIN(A2218,D2218)/COMBIN(A2218-B2218,D2218)</f>
        <v/>
      </c>
      <c r="F2218" s="11">
        <f>ROUNDUP(E2218*Controls!$B$4,4)</f>
        <v/>
      </c>
      <c r="G2218" s="12">
        <f>F2218/E2218</f>
        <v/>
      </c>
      <c r="H2218" s="10">
        <f>(A2218-B2218-(D2218-1))/(A2218-(D2218-1))</f>
        <v/>
      </c>
      <c r="I2218" s="9">
        <f>A2218&amp;'x'&amp;B2218</f>
        <v/>
      </c>
      <c r="J2218" s="9">
        <f>IF(AND(G2218&gt;0.9,G2218&lt;1),"OK","CHECK")</f>
        <v/>
      </c>
    </row>
    <row r="2219">
      <c r="A2219" s="9" t="n">
        <v>49</v>
      </c>
      <c r="B2219" s="9" t="n">
        <v>39</v>
      </c>
      <c r="C2219" s="9" t="n">
        <v>10</v>
      </c>
      <c r="D2219" s="9" t="n">
        <v>9</v>
      </c>
      <c r="E2219" s="10">
        <f>COMBIN(A2219,D2219)/COMBIN(A2219-B2219,D2219)</f>
        <v/>
      </c>
      <c r="F2219" s="11">
        <f>ROUNDUP(E2219*Controls!$B$4,4)</f>
        <v/>
      </c>
      <c r="G2219" s="12">
        <f>F2219/E2219</f>
        <v/>
      </c>
      <c r="H2219" s="10">
        <f>(A2219-B2219-(D2219-1))/(A2219-(D2219-1))</f>
        <v/>
      </c>
      <c r="I2219" s="9">
        <f>A2219&amp;'x'&amp;B2219</f>
        <v/>
      </c>
      <c r="J2219" s="9">
        <f>IF(AND(G2219&gt;0.9,G2219&lt;1),"OK","CHECK")</f>
        <v/>
      </c>
    </row>
    <row r="2220">
      <c r="A2220" s="9" t="n">
        <v>49</v>
      </c>
      <c r="B2220" s="9" t="n">
        <v>39</v>
      </c>
      <c r="C2220" s="9" t="n">
        <v>10</v>
      </c>
      <c r="D2220" s="9" t="n">
        <v>10</v>
      </c>
      <c r="E2220" s="10">
        <f>COMBIN(A2220,D2220)/COMBIN(A2220-B2220,D2220)</f>
        <v/>
      </c>
      <c r="F2220" s="11">
        <f>ROUNDUP(E2220*Controls!$B$4,4)</f>
        <v/>
      </c>
      <c r="G2220" s="12">
        <f>F2220/E2220</f>
        <v/>
      </c>
      <c r="H2220" s="10">
        <f>(A2220-B2220-(D2220-1))/(A2220-(D2220-1))</f>
        <v/>
      </c>
      <c r="I2220" s="9">
        <f>A2220&amp;'x'&amp;B2220</f>
        <v/>
      </c>
      <c r="J2220" s="9">
        <f>IF(AND(G2220&gt;0.9,G2220&lt;1),"OK","CHECK")</f>
        <v/>
      </c>
    </row>
    <row r="2221">
      <c r="A2221" s="9" t="n">
        <v>49</v>
      </c>
      <c r="B2221" s="9" t="n">
        <v>40</v>
      </c>
      <c r="C2221" s="9" t="n">
        <v>9</v>
      </c>
      <c r="D2221" s="9" t="n">
        <v>1</v>
      </c>
      <c r="E2221" s="10">
        <f>COMBIN(A2221,D2221)/COMBIN(A2221-B2221,D2221)</f>
        <v/>
      </c>
      <c r="F2221" s="11">
        <f>ROUNDUP(E2221*Controls!$B$4,4)</f>
        <v/>
      </c>
      <c r="G2221" s="12">
        <f>F2221/E2221</f>
        <v/>
      </c>
      <c r="H2221" s="10">
        <f>(A2221-B2221-(D2221-1))/(A2221-(D2221-1))</f>
        <v/>
      </c>
      <c r="I2221" s="9">
        <f>A2221&amp;'x'&amp;B2221</f>
        <v/>
      </c>
      <c r="J2221" s="9">
        <f>IF(AND(G2221&gt;0.9,G2221&lt;1),"OK","CHECK")</f>
        <v/>
      </c>
    </row>
    <row r="2222">
      <c r="A2222" s="9" t="n">
        <v>49</v>
      </c>
      <c r="B2222" s="9" t="n">
        <v>40</v>
      </c>
      <c r="C2222" s="9" t="n">
        <v>9</v>
      </c>
      <c r="D2222" s="9" t="n">
        <v>2</v>
      </c>
      <c r="E2222" s="10">
        <f>COMBIN(A2222,D2222)/COMBIN(A2222-B2222,D2222)</f>
        <v/>
      </c>
      <c r="F2222" s="11">
        <f>ROUNDUP(E2222*Controls!$B$4,4)</f>
        <v/>
      </c>
      <c r="G2222" s="12">
        <f>F2222/E2222</f>
        <v/>
      </c>
      <c r="H2222" s="10">
        <f>(A2222-B2222-(D2222-1))/(A2222-(D2222-1))</f>
        <v/>
      </c>
      <c r="I2222" s="9">
        <f>A2222&amp;'x'&amp;B2222</f>
        <v/>
      </c>
      <c r="J2222" s="9">
        <f>IF(AND(G2222&gt;0.9,G2222&lt;1),"OK","CHECK")</f>
        <v/>
      </c>
    </row>
    <row r="2223">
      <c r="A2223" s="9" t="n">
        <v>49</v>
      </c>
      <c r="B2223" s="9" t="n">
        <v>40</v>
      </c>
      <c r="C2223" s="9" t="n">
        <v>9</v>
      </c>
      <c r="D2223" s="9" t="n">
        <v>3</v>
      </c>
      <c r="E2223" s="10">
        <f>COMBIN(A2223,D2223)/COMBIN(A2223-B2223,D2223)</f>
        <v/>
      </c>
      <c r="F2223" s="11">
        <f>ROUNDUP(E2223*Controls!$B$4,4)</f>
        <v/>
      </c>
      <c r="G2223" s="12">
        <f>F2223/E2223</f>
        <v/>
      </c>
      <c r="H2223" s="10">
        <f>(A2223-B2223-(D2223-1))/(A2223-(D2223-1))</f>
        <v/>
      </c>
      <c r="I2223" s="9">
        <f>A2223&amp;'x'&amp;B2223</f>
        <v/>
      </c>
      <c r="J2223" s="9">
        <f>IF(AND(G2223&gt;0.9,G2223&lt;1),"OK","CHECK")</f>
        <v/>
      </c>
    </row>
    <row r="2224">
      <c r="A2224" s="9" t="n">
        <v>49</v>
      </c>
      <c r="B2224" s="9" t="n">
        <v>40</v>
      </c>
      <c r="C2224" s="9" t="n">
        <v>9</v>
      </c>
      <c r="D2224" s="9" t="n">
        <v>4</v>
      </c>
      <c r="E2224" s="10">
        <f>COMBIN(A2224,D2224)/COMBIN(A2224-B2224,D2224)</f>
        <v/>
      </c>
      <c r="F2224" s="11">
        <f>ROUNDUP(E2224*Controls!$B$4,4)</f>
        <v/>
      </c>
      <c r="G2224" s="12">
        <f>F2224/E2224</f>
        <v/>
      </c>
      <c r="H2224" s="10">
        <f>(A2224-B2224-(D2224-1))/(A2224-(D2224-1))</f>
        <v/>
      </c>
      <c r="I2224" s="9">
        <f>A2224&amp;'x'&amp;B2224</f>
        <v/>
      </c>
      <c r="J2224" s="9">
        <f>IF(AND(G2224&gt;0.9,G2224&lt;1),"OK","CHECK")</f>
        <v/>
      </c>
    </row>
    <row r="2225">
      <c r="A2225" s="9" t="n">
        <v>49</v>
      </c>
      <c r="B2225" s="9" t="n">
        <v>40</v>
      </c>
      <c r="C2225" s="9" t="n">
        <v>9</v>
      </c>
      <c r="D2225" s="9" t="n">
        <v>5</v>
      </c>
      <c r="E2225" s="10">
        <f>COMBIN(A2225,D2225)/COMBIN(A2225-B2225,D2225)</f>
        <v/>
      </c>
      <c r="F2225" s="11">
        <f>ROUNDUP(E2225*Controls!$B$4,4)</f>
        <v/>
      </c>
      <c r="G2225" s="12">
        <f>F2225/E2225</f>
        <v/>
      </c>
      <c r="H2225" s="10">
        <f>(A2225-B2225-(D2225-1))/(A2225-(D2225-1))</f>
        <v/>
      </c>
      <c r="I2225" s="9">
        <f>A2225&amp;'x'&amp;B2225</f>
        <v/>
      </c>
      <c r="J2225" s="9">
        <f>IF(AND(G2225&gt;0.9,G2225&lt;1),"OK","CHECK")</f>
        <v/>
      </c>
    </row>
    <row r="2226">
      <c r="A2226" s="9" t="n">
        <v>49</v>
      </c>
      <c r="B2226" s="9" t="n">
        <v>40</v>
      </c>
      <c r="C2226" s="9" t="n">
        <v>9</v>
      </c>
      <c r="D2226" s="9" t="n">
        <v>6</v>
      </c>
      <c r="E2226" s="10">
        <f>COMBIN(A2226,D2226)/COMBIN(A2226-B2226,D2226)</f>
        <v/>
      </c>
      <c r="F2226" s="11">
        <f>ROUNDUP(E2226*Controls!$B$4,4)</f>
        <v/>
      </c>
      <c r="G2226" s="12">
        <f>F2226/E2226</f>
        <v/>
      </c>
      <c r="H2226" s="10">
        <f>(A2226-B2226-(D2226-1))/(A2226-(D2226-1))</f>
        <v/>
      </c>
      <c r="I2226" s="9">
        <f>A2226&amp;'x'&amp;B2226</f>
        <v/>
      </c>
      <c r="J2226" s="9">
        <f>IF(AND(G2226&gt;0.9,G2226&lt;1),"OK","CHECK")</f>
        <v/>
      </c>
    </row>
    <row r="2227">
      <c r="A2227" s="9" t="n">
        <v>49</v>
      </c>
      <c r="B2227" s="9" t="n">
        <v>40</v>
      </c>
      <c r="C2227" s="9" t="n">
        <v>9</v>
      </c>
      <c r="D2227" s="9" t="n">
        <v>7</v>
      </c>
      <c r="E2227" s="10">
        <f>COMBIN(A2227,D2227)/COMBIN(A2227-B2227,D2227)</f>
        <v/>
      </c>
      <c r="F2227" s="11">
        <f>ROUNDUP(E2227*Controls!$B$4,4)</f>
        <v/>
      </c>
      <c r="G2227" s="12">
        <f>F2227/E2227</f>
        <v/>
      </c>
      <c r="H2227" s="10">
        <f>(A2227-B2227-(D2227-1))/(A2227-(D2227-1))</f>
        <v/>
      </c>
      <c r="I2227" s="9">
        <f>A2227&amp;'x'&amp;B2227</f>
        <v/>
      </c>
      <c r="J2227" s="9">
        <f>IF(AND(G2227&gt;0.9,G2227&lt;1),"OK","CHECK")</f>
        <v/>
      </c>
    </row>
    <row r="2228">
      <c r="A2228" s="9" t="n">
        <v>49</v>
      </c>
      <c r="B2228" s="9" t="n">
        <v>40</v>
      </c>
      <c r="C2228" s="9" t="n">
        <v>9</v>
      </c>
      <c r="D2228" s="9" t="n">
        <v>8</v>
      </c>
      <c r="E2228" s="10">
        <f>COMBIN(A2228,D2228)/COMBIN(A2228-B2228,D2228)</f>
        <v/>
      </c>
      <c r="F2228" s="11">
        <f>ROUNDUP(E2228*Controls!$B$4,4)</f>
        <v/>
      </c>
      <c r="G2228" s="12">
        <f>F2228/E2228</f>
        <v/>
      </c>
      <c r="H2228" s="10">
        <f>(A2228-B2228-(D2228-1))/(A2228-(D2228-1))</f>
        <v/>
      </c>
      <c r="I2228" s="9">
        <f>A2228&amp;'x'&amp;B2228</f>
        <v/>
      </c>
      <c r="J2228" s="9">
        <f>IF(AND(G2228&gt;0.9,G2228&lt;1),"OK","CHECK")</f>
        <v/>
      </c>
    </row>
    <row r="2229">
      <c r="A2229" s="9" t="n">
        <v>49</v>
      </c>
      <c r="B2229" s="9" t="n">
        <v>40</v>
      </c>
      <c r="C2229" s="9" t="n">
        <v>9</v>
      </c>
      <c r="D2229" s="9" t="n">
        <v>9</v>
      </c>
      <c r="E2229" s="10">
        <f>COMBIN(A2229,D2229)/COMBIN(A2229-B2229,D2229)</f>
        <v/>
      </c>
      <c r="F2229" s="11">
        <f>ROUNDUP(E2229*Controls!$B$4,4)</f>
        <v/>
      </c>
      <c r="G2229" s="12">
        <f>F2229/E2229</f>
        <v/>
      </c>
      <c r="H2229" s="10">
        <f>(A2229-B2229-(D2229-1))/(A2229-(D2229-1))</f>
        <v/>
      </c>
      <c r="I2229" s="9">
        <f>A2229&amp;'x'&amp;B2229</f>
        <v/>
      </c>
      <c r="J2229" s="9">
        <f>IF(AND(G2229&gt;0.9,G2229&lt;1),"OK","CHECK")</f>
        <v/>
      </c>
    </row>
    <row r="2230">
      <c r="A2230" s="9" t="n">
        <v>49</v>
      </c>
      <c r="B2230" s="9" t="n">
        <v>41</v>
      </c>
      <c r="C2230" s="9" t="n">
        <v>8</v>
      </c>
      <c r="D2230" s="9" t="n">
        <v>1</v>
      </c>
      <c r="E2230" s="10">
        <f>COMBIN(A2230,D2230)/COMBIN(A2230-B2230,D2230)</f>
        <v/>
      </c>
      <c r="F2230" s="11">
        <f>ROUNDUP(E2230*Controls!$B$4,4)</f>
        <v/>
      </c>
      <c r="G2230" s="12">
        <f>F2230/E2230</f>
        <v/>
      </c>
      <c r="H2230" s="10">
        <f>(A2230-B2230-(D2230-1))/(A2230-(D2230-1))</f>
        <v/>
      </c>
      <c r="I2230" s="9">
        <f>A2230&amp;'x'&amp;B2230</f>
        <v/>
      </c>
      <c r="J2230" s="9">
        <f>IF(AND(G2230&gt;0.9,G2230&lt;1),"OK","CHECK")</f>
        <v/>
      </c>
    </row>
    <row r="2231">
      <c r="A2231" s="9" t="n">
        <v>49</v>
      </c>
      <c r="B2231" s="9" t="n">
        <v>41</v>
      </c>
      <c r="C2231" s="9" t="n">
        <v>8</v>
      </c>
      <c r="D2231" s="9" t="n">
        <v>2</v>
      </c>
      <c r="E2231" s="10">
        <f>COMBIN(A2231,D2231)/COMBIN(A2231-B2231,D2231)</f>
        <v/>
      </c>
      <c r="F2231" s="11">
        <f>ROUNDUP(E2231*Controls!$B$4,4)</f>
        <v/>
      </c>
      <c r="G2231" s="12">
        <f>F2231/E2231</f>
        <v/>
      </c>
      <c r="H2231" s="10">
        <f>(A2231-B2231-(D2231-1))/(A2231-(D2231-1))</f>
        <v/>
      </c>
      <c r="I2231" s="9">
        <f>A2231&amp;'x'&amp;B2231</f>
        <v/>
      </c>
      <c r="J2231" s="9">
        <f>IF(AND(G2231&gt;0.9,G2231&lt;1),"OK","CHECK")</f>
        <v/>
      </c>
    </row>
    <row r="2232">
      <c r="A2232" s="9" t="n">
        <v>49</v>
      </c>
      <c r="B2232" s="9" t="n">
        <v>41</v>
      </c>
      <c r="C2232" s="9" t="n">
        <v>8</v>
      </c>
      <c r="D2232" s="9" t="n">
        <v>3</v>
      </c>
      <c r="E2232" s="10">
        <f>COMBIN(A2232,D2232)/COMBIN(A2232-B2232,D2232)</f>
        <v/>
      </c>
      <c r="F2232" s="11">
        <f>ROUNDUP(E2232*Controls!$B$4,4)</f>
        <v/>
      </c>
      <c r="G2232" s="12">
        <f>F2232/E2232</f>
        <v/>
      </c>
      <c r="H2232" s="10">
        <f>(A2232-B2232-(D2232-1))/(A2232-(D2232-1))</f>
        <v/>
      </c>
      <c r="I2232" s="9">
        <f>A2232&amp;'x'&amp;B2232</f>
        <v/>
      </c>
      <c r="J2232" s="9">
        <f>IF(AND(G2232&gt;0.9,G2232&lt;1),"OK","CHECK")</f>
        <v/>
      </c>
    </row>
    <row r="2233">
      <c r="A2233" s="9" t="n">
        <v>49</v>
      </c>
      <c r="B2233" s="9" t="n">
        <v>41</v>
      </c>
      <c r="C2233" s="9" t="n">
        <v>8</v>
      </c>
      <c r="D2233" s="9" t="n">
        <v>4</v>
      </c>
      <c r="E2233" s="10">
        <f>COMBIN(A2233,D2233)/COMBIN(A2233-B2233,D2233)</f>
        <v/>
      </c>
      <c r="F2233" s="11">
        <f>ROUNDUP(E2233*Controls!$B$4,4)</f>
        <v/>
      </c>
      <c r="G2233" s="12">
        <f>F2233/E2233</f>
        <v/>
      </c>
      <c r="H2233" s="10">
        <f>(A2233-B2233-(D2233-1))/(A2233-(D2233-1))</f>
        <v/>
      </c>
      <c r="I2233" s="9">
        <f>A2233&amp;'x'&amp;B2233</f>
        <v/>
      </c>
      <c r="J2233" s="9">
        <f>IF(AND(G2233&gt;0.9,G2233&lt;1),"OK","CHECK")</f>
        <v/>
      </c>
    </row>
    <row r="2234">
      <c r="A2234" s="9" t="n">
        <v>49</v>
      </c>
      <c r="B2234" s="9" t="n">
        <v>41</v>
      </c>
      <c r="C2234" s="9" t="n">
        <v>8</v>
      </c>
      <c r="D2234" s="9" t="n">
        <v>5</v>
      </c>
      <c r="E2234" s="10">
        <f>COMBIN(A2234,D2234)/COMBIN(A2234-B2234,D2234)</f>
        <v/>
      </c>
      <c r="F2234" s="11">
        <f>ROUNDUP(E2234*Controls!$B$4,4)</f>
        <v/>
      </c>
      <c r="G2234" s="12">
        <f>F2234/E2234</f>
        <v/>
      </c>
      <c r="H2234" s="10">
        <f>(A2234-B2234-(D2234-1))/(A2234-(D2234-1))</f>
        <v/>
      </c>
      <c r="I2234" s="9">
        <f>A2234&amp;'x'&amp;B2234</f>
        <v/>
      </c>
      <c r="J2234" s="9">
        <f>IF(AND(G2234&gt;0.9,G2234&lt;1),"OK","CHECK")</f>
        <v/>
      </c>
    </row>
    <row r="2235">
      <c r="A2235" s="9" t="n">
        <v>49</v>
      </c>
      <c r="B2235" s="9" t="n">
        <v>41</v>
      </c>
      <c r="C2235" s="9" t="n">
        <v>8</v>
      </c>
      <c r="D2235" s="9" t="n">
        <v>6</v>
      </c>
      <c r="E2235" s="10">
        <f>COMBIN(A2235,D2235)/COMBIN(A2235-B2235,D2235)</f>
        <v/>
      </c>
      <c r="F2235" s="11">
        <f>ROUNDUP(E2235*Controls!$B$4,4)</f>
        <v/>
      </c>
      <c r="G2235" s="12">
        <f>F2235/E2235</f>
        <v/>
      </c>
      <c r="H2235" s="10">
        <f>(A2235-B2235-(D2235-1))/(A2235-(D2235-1))</f>
        <v/>
      </c>
      <c r="I2235" s="9">
        <f>A2235&amp;'x'&amp;B2235</f>
        <v/>
      </c>
      <c r="J2235" s="9">
        <f>IF(AND(G2235&gt;0.9,G2235&lt;1),"OK","CHECK")</f>
        <v/>
      </c>
    </row>
    <row r="2236">
      <c r="A2236" s="9" t="n">
        <v>49</v>
      </c>
      <c r="B2236" s="9" t="n">
        <v>41</v>
      </c>
      <c r="C2236" s="9" t="n">
        <v>8</v>
      </c>
      <c r="D2236" s="9" t="n">
        <v>7</v>
      </c>
      <c r="E2236" s="10">
        <f>COMBIN(A2236,D2236)/COMBIN(A2236-B2236,D2236)</f>
        <v/>
      </c>
      <c r="F2236" s="11">
        <f>ROUNDUP(E2236*Controls!$B$4,4)</f>
        <v/>
      </c>
      <c r="G2236" s="12">
        <f>F2236/E2236</f>
        <v/>
      </c>
      <c r="H2236" s="10">
        <f>(A2236-B2236-(D2236-1))/(A2236-(D2236-1))</f>
        <v/>
      </c>
      <c r="I2236" s="9">
        <f>A2236&amp;'x'&amp;B2236</f>
        <v/>
      </c>
      <c r="J2236" s="9">
        <f>IF(AND(G2236&gt;0.9,G2236&lt;1),"OK","CHECK")</f>
        <v/>
      </c>
    </row>
    <row r="2237">
      <c r="A2237" s="9" t="n">
        <v>49</v>
      </c>
      <c r="B2237" s="9" t="n">
        <v>41</v>
      </c>
      <c r="C2237" s="9" t="n">
        <v>8</v>
      </c>
      <c r="D2237" s="9" t="n">
        <v>8</v>
      </c>
      <c r="E2237" s="10">
        <f>COMBIN(A2237,D2237)/COMBIN(A2237-B2237,D2237)</f>
        <v/>
      </c>
      <c r="F2237" s="11">
        <f>ROUNDUP(E2237*Controls!$B$4,4)</f>
        <v/>
      </c>
      <c r="G2237" s="12">
        <f>F2237/E2237</f>
        <v/>
      </c>
      <c r="H2237" s="10">
        <f>(A2237-B2237-(D2237-1))/(A2237-(D2237-1))</f>
        <v/>
      </c>
      <c r="I2237" s="9">
        <f>A2237&amp;'x'&amp;B2237</f>
        <v/>
      </c>
      <c r="J2237" s="9">
        <f>IF(AND(G2237&gt;0.9,G2237&lt;1),"OK","CHECK")</f>
        <v/>
      </c>
    </row>
    <row r="2238">
      <c r="A2238" s="9" t="n">
        <v>49</v>
      </c>
      <c r="B2238" s="9" t="n">
        <v>42</v>
      </c>
      <c r="C2238" s="9" t="n">
        <v>7</v>
      </c>
      <c r="D2238" s="9" t="n">
        <v>1</v>
      </c>
      <c r="E2238" s="10">
        <f>COMBIN(A2238,D2238)/COMBIN(A2238-B2238,D2238)</f>
        <v/>
      </c>
      <c r="F2238" s="11">
        <f>ROUNDUP(E2238*Controls!$B$4,4)</f>
        <v/>
      </c>
      <c r="G2238" s="12">
        <f>F2238/E2238</f>
        <v/>
      </c>
      <c r="H2238" s="10">
        <f>(A2238-B2238-(D2238-1))/(A2238-(D2238-1))</f>
        <v/>
      </c>
      <c r="I2238" s="9">
        <f>A2238&amp;'x'&amp;B2238</f>
        <v/>
      </c>
      <c r="J2238" s="9">
        <f>IF(AND(G2238&gt;0.9,G2238&lt;1),"OK","CHECK")</f>
        <v/>
      </c>
    </row>
    <row r="2239">
      <c r="A2239" s="9" t="n">
        <v>49</v>
      </c>
      <c r="B2239" s="9" t="n">
        <v>42</v>
      </c>
      <c r="C2239" s="9" t="n">
        <v>7</v>
      </c>
      <c r="D2239" s="9" t="n">
        <v>2</v>
      </c>
      <c r="E2239" s="10">
        <f>COMBIN(A2239,D2239)/COMBIN(A2239-B2239,D2239)</f>
        <v/>
      </c>
      <c r="F2239" s="11">
        <f>ROUNDUP(E2239*Controls!$B$4,4)</f>
        <v/>
      </c>
      <c r="G2239" s="12">
        <f>F2239/E2239</f>
        <v/>
      </c>
      <c r="H2239" s="10">
        <f>(A2239-B2239-(D2239-1))/(A2239-(D2239-1))</f>
        <v/>
      </c>
      <c r="I2239" s="9">
        <f>A2239&amp;'x'&amp;B2239</f>
        <v/>
      </c>
      <c r="J2239" s="9">
        <f>IF(AND(G2239&gt;0.9,G2239&lt;1),"OK","CHECK")</f>
        <v/>
      </c>
    </row>
    <row r="2240">
      <c r="A2240" s="9" t="n">
        <v>49</v>
      </c>
      <c r="B2240" s="9" t="n">
        <v>42</v>
      </c>
      <c r="C2240" s="9" t="n">
        <v>7</v>
      </c>
      <c r="D2240" s="9" t="n">
        <v>3</v>
      </c>
      <c r="E2240" s="10">
        <f>COMBIN(A2240,D2240)/COMBIN(A2240-B2240,D2240)</f>
        <v/>
      </c>
      <c r="F2240" s="11">
        <f>ROUNDUP(E2240*Controls!$B$4,4)</f>
        <v/>
      </c>
      <c r="G2240" s="12">
        <f>F2240/E2240</f>
        <v/>
      </c>
      <c r="H2240" s="10">
        <f>(A2240-B2240-(D2240-1))/(A2240-(D2240-1))</f>
        <v/>
      </c>
      <c r="I2240" s="9">
        <f>A2240&amp;'x'&amp;B2240</f>
        <v/>
      </c>
      <c r="J2240" s="9">
        <f>IF(AND(G2240&gt;0.9,G2240&lt;1),"OK","CHECK")</f>
        <v/>
      </c>
    </row>
    <row r="2241">
      <c r="A2241" s="9" t="n">
        <v>49</v>
      </c>
      <c r="B2241" s="9" t="n">
        <v>42</v>
      </c>
      <c r="C2241" s="9" t="n">
        <v>7</v>
      </c>
      <c r="D2241" s="9" t="n">
        <v>4</v>
      </c>
      <c r="E2241" s="10">
        <f>COMBIN(A2241,D2241)/COMBIN(A2241-B2241,D2241)</f>
        <v/>
      </c>
      <c r="F2241" s="11">
        <f>ROUNDUP(E2241*Controls!$B$4,4)</f>
        <v/>
      </c>
      <c r="G2241" s="12">
        <f>F2241/E2241</f>
        <v/>
      </c>
      <c r="H2241" s="10">
        <f>(A2241-B2241-(D2241-1))/(A2241-(D2241-1))</f>
        <v/>
      </c>
      <c r="I2241" s="9">
        <f>A2241&amp;'x'&amp;B2241</f>
        <v/>
      </c>
      <c r="J2241" s="9">
        <f>IF(AND(G2241&gt;0.9,G2241&lt;1),"OK","CHECK")</f>
        <v/>
      </c>
    </row>
    <row r="2242">
      <c r="A2242" s="9" t="n">
        <v>49</v>
      </c>
      <c r="B2242" s="9" t="n">
        <v>42</v>
      </c>
      <c r="C2242" s="9" t="n">
        <v>7</v>
      </c>
      <c r="D2242" s="9" t="n">
        <v>5</v>
      </c>
      <c r="E2242" s="10">
        <f>COMBIN(A2242,D2242)/COMBIN(A2242-B2242,D2242)</f>
        <v/>
      </c>
      <c r="F2242" s="11">
        <f>ROUNDUP(E2242*Controls!$B$4,4)</f>
        <v/>
      </c>
      <c r="G2242" s="12">
        <f>F2242/E2242</f>
        <v/>
      </c>
      <c r="H2242" s="10">
        <f>(A2242-B2242-(D2242-1))/(A2242-(D2242-1))</f>
        <v/>
      </c>
      <c r="I2242" s="9">
        <f>A2242&amp;'x'&amp;B2242</f>
        <v/>
      </c>
      <c r="J2242" s="9">
        <f>IF(AND(G2242&gt;0.9,G2242&lt;1),"OK","CHECK")</f>
        <v/>
      </c>
    </row>
    <row r="2243">
      <c r="A2243" s="9" t="n">
        <v>49</v>
      </c>
      <c r="B2243" s="9" t="n">
        <v>42</v>
      </c>
      <c r="C2243" s="9" t="n">
        <v>7</v>
      </c>
      <c r="D2243" s="9" t="n">
        <v>6</v>
      </c>
      <c r="E2243" s="10">
        <f>COMBIN(A2243,D2243)/COMBIN(A2243-B2243,D2243)</f>
        <v/>
      </c>
      <c r="F2243" s="11">
        <f>ROUNDUP(E2243*Controls!$B$4,4)</f>
        <v/>
      </c>
      <c r="G2243" s="12">
        <f>F2243/E2243</f>
        <v/>
      </c>
      <c r="H2243" s="10">
        <f>(A2243-B2243-(D2243-1))/(A2243-(D2243-1))</f>
        <v/>
      </c>
      <c r="I2243" s="9">
        <f>A2243&amp;'x'&amp;B2243</f>
        <v/>
      </c>
      <c r="J2243" s="9">
        <f>IF(AND(G2243&gt;0.9,G2243&lt;1),"OK","CHECK")</f>
        <v/>
      </c>
    </row>
    <row r="2244">
      <c r="A2244" s="9" t="n">
        <v>49</v>
      </c>
      <c r="B2244" s="9" t="n">
        <v>42</v>
      </c>
      <c r="C2244" s="9" t="n">
        <v>7</v>
      </c>
      <c r="D2244" s="9" t="n">
        <v>7</v>
      </c>
      <c r="E2244" s="10">
        <f>COMBIN(A2244,D2244)/COMBIN(A2244-B2244,D2244)</f>
        <v/>
      </c>
      <c r="F2244" s="11">
        <f>ROUNDUP(E2244*Controls!$B$4,4)</f>
        <v/>
      </c>
      <c r="G2244" s="12">
        <f>F2244/E2244</f>
        <v/>
      </c>
      <c r="H2244" s="10">
        <f>(A2244-B2244-(D2244-1))/(A2244-(D2244-1))</f>
        <v/>
      </c>
      <c r="I2244" s="9">
        <f>A2244&amp;'x'&amp;B2244</f>
        <v/>
      </c>
      <c r="J2244" s="9">
        <f>IF(AND(G2244&gt;0.9,G2244&lt;1),"OK","CHECK")</f>
        <v/>
      </c>
    </row>
    <row r="2245">
      <c r="A2245" s="9" t="n">
        <v>49</v>
      </c>
      <c r="B2245" s="9" t="n">
        <v>43</v>
      </c>
      <c r="C2245" s="9" t="n">
        <v>6</v>
      </c>
      <c r="D2245" s="9" t="n">
        <v>1</v>
      </c>
      <c r="E2245" s="10">
        <f>COMBIN(A2245,D2245)/COMBIN(A2245-B2245,D2245)</f>
        <v/>
      </c>
      <c r="F2245" s="11">
        <f>ROUNDUP(E2245*Controls!$B$4,4)</f>
        <v/>
      </c>
      <c r="G2245" s="12">
        <f>F2245/E2245</f>
        <v/>
      </c>
      <c r="H2245" s="10">
        <f>(A2245-B2245-(D2245-1))/(A2245-(D2245-1))</f>
        <v/>
      </c>
      <c r="I2245" s="9">
        <f>A2245&amp;'x'&amp;B2245</f>
        <v/>
      </c>
      <c r="J2245" s="9">
        <f>IF(AND(G2245&gt;0.9,G2245&lt;1),"OK","CHECK")</f>
        <v/>
      </c>
    </row>
    <row r="2246">
      <c r="A2246" s="9" t="n">
        <v>49</v>
      </c>
      <c r="B2246" s="9" t="n">
        <v>43</v>
      </c>
      <c r="C2246" s="9" t="n">
        <v>6</v>
      </c>
      <c r="D2246" s="9" t="n">
        <v>2</v>
      </c>
      <c r="E2246" s="10">
        <f>COMBIN(A2246,D2246)/COMBIN(A2246-B2246,D2246)</f>
        <v/>
      </c>
      <c r="F2246" s="11">
        <f>ROUNDUP(E2246*Controls!$B$4,4)</f>
        <v/>
      </c>
      <c r="G2246" s="12">
        <f>F2246/E2246</f>
        <v/>
      </c>
      <c r="H2246" s="10">
        <f>(A2246-B2246-(D2246-1))/(A2246-(D2246-1))</f>
        <v/>
      </c>
      <c r="I2246" s="9">
        <f>A2246&amp;'x'&amp;B2246</f>
        <v/>
      </c>
      <c r="J2246" s="9">
        <f>IF(AND(G2246&gt;0.9,G2246&lt;1),"OK","CHECK")</f>
        <v/>
      </c>
    </row>
    <row r="2247">
      <c r="A2247" s="9" t="n">
        <v>49</v>
      </c>
      <c r="B2247" s="9" t="n">
        <v>43</v>
      </c>
      <c r="C2247" s="9" t="n">
        <v>6</v>
      </c>
      <c r="D2247" s="9" t="n">
        <v>3</v>
      </c>
      <c r="E2247" s="10">
        <f>COMBIN(A2247,D2247)/COMBIN(A2247-B2247,D2247)</f>
        <v/>
      </c>
      <c r="F2247" s="11">
        <f>ROUNDUP(E2247*Controls!$B$4,4)</f>
        <v/>
      </c>
      <c r="G2247" s="12">
        <f>F2247/E2247</f>
        <v/>
      </c>
      <c r="H2247" s="10">
        <f>(A2247-B2247-(D2247-1))/(A2247-(D2247-1))</f>
        <v/>
      </c>
      <c r="I2247" s="9">
        <f>A2247&amp;'x'&amp;B2247</f>
        <v/>
      </c>
      <c r="J2247" s="9">
        <f>IF(AND(G2247&gt;0.9,G2247&lt;1),"OK","CHECK")</f>
        <v/>
      </c>
    </row>
    <row r="2248">
      <c r="A2248" s="9" t="n">
        <v>49</v>
      </c>
      <c r="B2248" s="9" t="n">
        <v>43</v>
      </c>
      <c r="C2248" s="9" t="n">
        <v>6</v>
      </c>
      <c r="D2248" s="9" t="n">
        <v>4</v>
      </c>
      <c r="E2248" s="10">
        <f>COMBIN(A2248,D2248)/COMBIN(A2248-B2248,D2248)</f>
        <v/>
      </c>
      <c r="F2248" s="11">
        <f>ROUNDUP(E2248*Controls!$B$4,4)</f>
        <v/>
      </c>
      <c r="G2248" s="12">
        <f>F2248/E2248</f>
        <v/>
      </c>
      <c r="H2248" s="10">
        <f>(A2248-B2248-(D2248-1))/(A2248-(D2248-1))</f>
        <v/>
      </c>
      <c r="I2248" s="9">
        <f>A2248&amp;'x'&amp;B2248</f>
        <v/>
      </c>
      <c r="J2248" s="9">
        <f>IF(AND(G2248&gt;0.9,G2248&lt;1),"OK","CHECK")</f>
        <v/>
      </c>
    </row>
    <row r="2249">
      <c r="A2249" s="9" t="n">
        <v>49</v>
      </c>
      <c r="B2249" s="9" t="n">
        <v>43</v>
      </c>
      <c r="C2249" s="9" t="n">
        <v>6</v>
      </c>
      <c r="D2249" s="9" t="n">
        <v>5</v>
      </c>
      <c r="E2249" s="10">
        <f>COMBIN(A2249,D2249)/COMBIN(A2249-B2249,D2249)</f>
        <v/>
      </c>
      <c r="F2249" s="11">
        <f>ROUNDUP(E2249*Controls!$B$4,4)</f>
        <v/>
      </c>
      <c r="G2249" s="12">
        <f>F2249/E2249</f>
        <v/>
      </c>
      <c r="H2249" s="10">
        <f>(A2249-B2249-(D2249-1))/(A2249-(D2249-1))</f>
        <v/>
      </c>
      <c r="I2249" s="9">
        <f>A2249&amp;'x'&amp;B2249</f>
        <v/>
      </c>
      <c r="J2249" s="9">
        <f>IF(AND(G2249&gt;0.9,G2249&lt;1),"OK","CHECK")</f>
        <v/>
      </c>
    </row>
    <row r="2250">
      <c r="A2250" s="9" t="n">
        <v>49</v>
      </c>
      <c r="B2250" s="9" t="n">
        <v>43</v>
      </c>
      <c r="C2250" s="9" t="n">
        <v>6</v>
      </c>
      <c r="D2250" s="9" t="n">
        <v>6</v>
      </c>
      <c r="E2250" s="10">
        <f>COMBIN(A2250,D2250)/COMBIN(A2250-B2250,D2250)</f>
        <v/>
      </c>
      <c r="F2250" s="11">
        <f>ROUNDUP(E2250*Controls!$B$4,4)</f>
        <v/>
      </c>
      <c r="G2250" s="12">
        <f>F2250/E2250</f>
        <v/>
      </c>
      <c r="H2250" s="10">
        <f>(A2250-B2250-(D2250-1))/(A2250-(D2250-1))</f>
        <v/>
      </c>
      <c r="I2250" s="9">
        <f>A2250&amp;'x'&amp;B2250</f>
        <v/>
      </c>
      <c r="J2250" s="9">
        <f>IF(AND(G2250&gt;0.9,G2250&lt;1),"OK","CHECK")</f>
        <v/>
      </c>
    </row>
    <row r="2251">
      <c r="A2251" s="9" t="n">
        <v>49</v>
      </c>
      <c r="B2251" s="9" t="n">
        <v>44</v>
      </c>
      <c r="C2251" s="9" t="n">
        <v>5</v>
      </c>
      <c r="D2251" s="9" t="n">
        <v>1</v>
      </c>
      <c r="E2251" s="10">
        <f>COMBIN(A2251,D2251)/COMBIN(A2251-B2251,D2251)</f>
        <v/>
      </c>
      <c r="F2251" s="11">
        <f>ROUNDUP(E2251*Controls!$B$4,4)</f>
        <v/>
      </c>
      <c r="G2251" s="12">
        <f>F2251/E2251</f>
        <v/>
      </c>
      <c r="H2251" s="10">
        <f>(A2251-B2251-(D2251-1))/(A2251-(D2251-1))</f>
        <v/>
      </c>
      <c r="I2251" s="9">
        <f>A2251&amp;'x'&amp;B2251</f>
        <v/>
      </c>
      <c r="J2251" s="9">
        <f>IF(AND(G2251&gt;0.9,G2251&lt;1),"OK","CHECK")</f>
        <v/>
      </c>
    </row>
    <row r="2252">
      <c r="A2252" s="9" t="n">
        <v>49</v>
      </c>
      <c r="B2252" s="9" t="n">
        <v>44</v>
      </c>
      <c r="C2252" s="9" t="n">
        <v>5</v>
      </c>
      <c r="D2252" s="9" t="n">
        <v>2</v>
      </c>
      <c r="E2252" s="10">
        <f>COMBIN(A2252,D2252)/COMBIN(A2252-B2252,D2252)</f>
        <v/>
      </c>
      <c r="F2252" s="11">
        <f>ROUNDUP(E2252*Controls!$B$4,4)</f>
        <v/>
      </c>
      <c r="G2252" s="12">
        <f>F2252/E2252</f>
        <v/>
      </c>
      <c r="H2252" s="10">
        <f>(A2252-B2252-(D2252-1))/(A2252-(D2252-1))</f>
        <v/>
      </c>
      <c r="I2252" s="9">
        <f>A2252&amp;'x'&amp;B2252</f>
        <v/>
      </c>
      <c r="J2252" s="9">
        <f>IF(AND(G2252&gt;0.9,G2252&lt;1),"OK","CHECK")</f>
        <v/>
      </c>
    </row>
    <row r="2253">
      <c r="A2253" s="9" t="n">
        <v>49</v>
      </c>
      <c r="B2253" s="9" t="n">
        <v>44</v>
      </c>
      <c r="C2253" s="9" t="n">
        <v>5</v>
      </c>
      <c r="D2253" s="9" t="n">
        <v>3</v>
      </c>
      <c r="E2253" s="10">
        <f>COMBIN(A2253,D2253)/COMBIN(A2253-B2253,D2253)</f>
        <v/>
      </c>
      <c r="F2253" s="11">
        <f>ROUNDUP(E2253*Controls!$B$4,4)</f>
        <v/>
      </c>
      <c r="G2253" s="12">
        <f>F2253/E2253</f>
        <v/>
      </c>
      <c r="H2253" s="10">
        <f>(A2253-B2253-(D2253-1))/(A2253-(D2253-1))</f>
        <v/>
      </c>
      <c r="I2253" s="9">
        <f>A2253&amp;'x'&amp;B2253</f>
        <v/>
      </c>
      <c r="J2253" s="9">
        <f>IF(AND(G2253&gt;0.9,G2253&lt;1),"OK","CHECK")</f>
        <v/>
      </c>
    </row>
    <row r="2254">
      <c r="A2254" s="9" t="n">
        <v>49</v>
      </c>
      <c r="B2254" s="9" t="n">
        <v>44</v>
      </c>
      <c r="C2254" s="9" t="n">
        <v>5</v>
      </c>
      <c r="D2254" s="9" t="n">
        <v>4</v>
      </c>
      <c r="E2254" s="10">
        <f>COMBIN(A2254,D2254)/COMBIN(A2254-B2254,D2254)</f>
        <v/>
      </c>
      <c r="F2254" s="11">
        <f>ROUNDUP(E2254*Controls!$B$4,4)</f>
        <v/>
      </c>
      <c r="G2254" s="12">
        <f>F2254/E2254</f>
        <v/>
      </c>
      <c r="H2254" s="10">
        <f>(A2254-B2254-(D2254-1))/(A2254-(D2254-1))</f>
        <v/>
      </c>
      <c r="I2254" s="9">
        <f>A2254&amp;'x'&amp;B2254</f>
        <v/>
      </c>
      <c r="J2254" s="9">
        <f>IF(AND(G2254&gt;0.9,G2254&lt;1),"OK","CHECK")</f>
        <v/>
      </c>
    </row>
    <row r="2255">
      <c r="A2255" s="9" t="n">
        <v>49</v>
      </c>
      <c r="B2255" s="9" t="n">
        <v>44</v>
      </c>
      <c r="C2255" s="9" t="n">
        <v>5</v>
      </c>
      <c r="D2255" s="9" t="n">
        <v>5</v>
      </c>
      <c r="E2255" s="10">
        <f>COMBIN(A2255,D2255)/COMBIN(A2255-B2255,D2255)</f>
        <v/>
      </c>
      <c r="F2255" s="11">
        <f>ROUNDUP(E2255*Controls!$B$4,4)</f>
        <v/>
      </c>
      <c r="G2255" s="12">
        <f>F2255/E2255</f>
        <v/>
      </c>
      <c r="H2255" s="10">
        <f>(A2255-B2255-(D2255-1))/(A2255-(D2255-1))</f>
        <v/>
      </c>
      <c r="I2255" s="9">
        <f>A2255&amp;'x'&amp;B2255</f>
        <v/>
      </c>
      <c r="J2255" s="9">
        <f>IF(AND(G2255&gt;0.9,G2255&lt;1),"OK","CHECK")</f>
        <v/>
      </c>
    </row>
    <row r="2256">
      <c r="A2256" s="9" t="n">
        <v>49</v>
      </c>
      <c r="B2256" s="9" t="n">
        <v>45</v>
      </c>
      <c r="C2256" s="9" t="n">
        <v>4</v>
      </c>
      <c r="D2256" s="9" t="n">
        <v>1</v>
      </c>
      <c r="E2256" s="10">
        <f>COMBIN(A2256,D2256)/COMBIN(A2256-B2256,D2256)</f>
        <v/>
      </c>
      <c r="F2256" s="11">
        <f>ROUNDUP(E2256*Controls!$B$4,4)</f>
        <v/>
      </c>
      <c r="G2256" s="12">
        <f>F2256/E2256</f>
        <v/>
      </c>
      <c r="H2256" s="10">
        <f>(A2256-B2256-(D2256-1))/(A2256-(D2256-1))</f>
        <v/>
      </c>
      <c r="I2256" s="9">
        <f>A2256&amp;'x'&amp;B2256</f>
        <v/>
      </c>
      <c r="J2256" s="9">
        <f>IF(AND(G2256&gt;0.9,G2256&lt;1),"OK","CHECK")</f>
        <v/>
      </c>
    </row>
    <row r="2257">
      <c r="A2257" s="9" t="n">
        <v>49</v>
      </c>
      <c r="B2257" s="9" t="n">
        <v>45</v>
      </c>
      <c r="C2257" s="9" t="n">
        <v>4</v>
      </c>
      <c r="D2257" s="9" t="n">
        <v>2</v>
      </c>
      <c r="E2257" s="10">
        <f>COMBIN(A2257,D2257)/COMBIN(A2257-B2257,D2257)</f>
        <v/>
      </c>
      <c r="F2257" s="11">
        <f>ROUNDUP(E2257*Controls!$B$4,4)</f>
        <v/>
      </c>
      <c r="G2257" s="12">
        <f>F2257/E2257</f>
        <v/>
      </c>
      <c r="H2257" s="10">
        <f>(A2257-B2257-(D2257-1))/(A2257-(D2257-1))</f>
        <v/>
      </c>
      <c r="I2257" s="9">
        <f>A2257&amp;'x'&amp;B2257</f>
        <v/>
      </c>
      <c r="J2257" s="9">
        <f>IF(AND(G2257&gt;0.9,G2257&lt;1),"OK","CHECK")</f>
        <v/>
      </c>
    </row>
    <row r="2258">
      <c r="A2258" s="9" t="n">
        <v>49</v>
      </c>
      <c r="B2258" s="9" t="n">
        <v>45</v>
      </c>
      <c r="C2258" s="9" t="n">
        <v>4</v>
      </c>
      <c r="D2258" s="9" t="n">
        <v>3</v>
      </c>
      <c r="E2258" s="10">
        <f>COMBIN(A2258,D2258)/COMBIN(A2258-B2258,D2258)</f>
        <v/>
      </c>
      <c r="F2258" s="11">
        <f>ROUNDUP(E2258*Controls!$B$4,4)</f>
        <v/>
      </c>
      <c r="G2258" s="12">
        <f>F2258/E2258</f>
        <v/>
      </c>
      <c r="H2258" s="10">
        <f>(A2258-B2258-(D2258-1))/(A2258-(D2258-1))</f>
        <v/>
      </c>
      <c r="I2258" s="9">
        <f>A2258&amp;'x'&amp;B2258</f>
        <v/>
      </c>
      <c r="J2258" s="9">
        <f>IF(AND(G2258&gt;0.9,G2258&lt;1),"OK","CHECK")</f>
        <v/>
      </c>
    </row>
    <row r="2259">
      <c r="A2259" s="9" t="n">
        <v>49</v>
      </c>
      <c r="B2259" s="9" t="n">
        <v>45</v>
      </c>
      <c r="C2259" s="9" t="n">
        <v>4</v>
      </c>
      <c r="D2259" s="9" t="n">
        <v>4</v>
      </c>
      <c r="E2259" s="10">
        <f>COMBIN(A2259,D2259)/COMBIN(A2259-B2259,D2259)</f>
        <v/>
      </c>
      <c r="F2259" s="11">
        <f>ROUNDUP(E2259*Controls!$B$4,4)</f>
        <v/>
      </c>
      <c r="G2259" s="12">
        <f>F2259/E2259</f>
        <v/>
      </c>
      <c r="H2259" s="10">
        <f>(A2259-B2259-(D2259-1))/(A2259-(D2259-1))</f>
        <v/>
      </c>
      <c r="I2259" s="9">
        <f>A2259&amp;'x'&amp;B2259</f>
        <v/>
      </c>
      <c r="J2259" s="9">
        <f>IF(AND(G2259&gt;0.9,G2259&lt;1),"OK","CHECK")</f>
        <v/>
      </c>
    </row>
    <row r="2260">
      <c r="A2260" s="9" t="n">
        <v>49</v>
      </c>
      <c r="B2260" s="9" t="n">
        <v>46</v>
      </c>
      <c r="C2260" s="9" t="n">
        <v>3</v>
      </c>
      <c r="D2260" s="9" t="n">
        <v>1</v>
      </c>
      <c r="E2260" s="10">
        <f>COMBIN(A2260,D2260)/COMBIN(A2260-B2260,D2260)</f>
        <v/>
      </c>
      <c r="F2260" s="11">
        <f>ROUNDUP(E2260*Controls!$B$4,4)</f>
        <v/>
      </c>
      <c r="G2260" s="12">
        <f>F2260/E2260</f>
        <v/>
      </c>
      <c r="H2260" s="10">
        <f>(A2260-B2260-(D2260-1))/(A2260-(D2260-1))</f>
        <v/>
      </c>
      <c r="I2260" s="9">
        <f>A2260&amp;'x'&amp;B2260</f>
        <v/>
      </c>
      <c r="J2260" s="9">
        <f>IF(AND(G2260&gt;0.9,G2260&lt;1),"OK","CHECK")</f>
        <v/>
      </c>
    </row>
    <row r="2261">
      <c r="A2261" s="9" t="n">
        <v>49</v>
      </c>
      <c r="B2261" s="9" t="n">
        <v>46</v>
      </c>
      <c r="C2261" s="9" t="n">
        <v>3</v>
      </c>
      <c r="D2261" s="9" t="n">
        <v>2</v>
      </c>
      <c r="E2261" s="10">
        <f>COMBIN(A2261,D2261)/COMBIN(A2261-B2261,D2261)</f>
        <v/>
      </c>
      <c r="F2261" s="11">
        <f>ROUNDUP(E2261*Controls!$B$4,4)</f>
        <v/>
      </c>
      <c r="G2261" s="12">
        <f>F2261/E2261</f>
        <v/>
      </c>
      <c r="H2261" s="10">
        <f>(A2261-B2261-(D2261-1))/(A2261-(D2261-1))</f>
        <v/>
      </c>
      <c r="I2261" s="9">
        <f>A2261&amp;'x'&amp;B2261</f>
        <v/>
      </c>
      <c r="J2261" s="9">
        <f>IF(AND(G2261&gt;0.9,G2261&lt;1),"OK","CHECK")</f>
        <v/>
      </c>
    </row>
    <row r="2262">
      <c r="A2262" s="9" t="n">
        <v>49</v>
      </c>
      <c r="B2262" s="9" t="n">
        <v>46</v>
      </c>
      <c r="C2262" s="9" t="n">
        <v>3</v>
      </c>
      <c r="D2262" s="9" t="n">
        <v>3</v>
      </c>
      <c r="E2262" s="10">
        <f>COMBIN(A2262,D2262)/COMBIN(A2262-B2262,D2262)</f>
        <v/>
      </c>
      <c r="F2262" s="11">
        <f>ROUNDUP(E2262*Controls!$B$4,4)</f>
        <v/>
      </c>
      <c r="G2262" s="12">
        <f>F2262/E2262</f>
        <v/>
      </c>
      <c r="H2262" s="10">
        <f>(A2262-B2262-(D2262-1))/(A2262-(D2262-1))</f>
        <v/>
      </c>
      <c r="I2262" s="9">
        <f>A2262&amp;'x'&amp;B2262</f>
        <v/>
      </c>
      <c r="J2262" s="9">
        <f>IF(AND(G2262&gt;0.9,G2262&lt;1),"OK","CHECK")</f>
        <v/>
      </c>
    </row>
    <row r="2263">
      <c r="A2263" s="9" t="n">
        <v>49</v>
      </c>
      <c r="B2263" s="9" t="n">
        <v>47</v>
      </c>
      <c r="C2263" s="9" t="n">
        <v>2</v>
      </c>
      <c r="D2263" s="9" t="n">
        <v>1</v>
      </c>
      <c r="E2263" s="10">
        <f>COMBIN(A2263,D2263)/COMBIN(A2263-B2263,D2263)</f>
        <v/>
      </c>
      <c r="F2263" s="11">
        <f>ROUNDUP(E2263*Controls!$B$4,4)</f>
        <v/>
      </c>
      <c r="G2263" s="12">
        <f>F2263/E2263</f>
        <v/>
      </c>
      <c r="H2263" s="10">
        <f>(A2263-B2263-(D2263-1))/(A2263-(D2263-1))</f>
        <v/>
      </c>
      <c r="I2263" s="9">
        <f>A2263&amp;'x'&amp;B2263</f>
        <v/>
      </c>
      <c r="J2263" s="9">
        <f>IF(AND(G2263&gt;0.9,G2263&lt;1),"OK","CHECK")</f>
        <v/>
      </c>
    </row>
    <row r="2264">
      <c r="A2264" s="9" t="n">
        <v>49</v>
      </c>
      <c r="B2264" s="9" t="n">
        <v>47</v>
      </c>
      <c r="C2264" s="9" t="n">
        <v>2</v>
      </c>
      <c r="D2264" s="9" t="n">
        <v>2</v>
      </c>
      <c r="E2264" s="10">
        <f>COMBIN(A2264,D2264)/COMBIN(A2264-B2264,D2264)</f>
        <v/>
      </c>
      <c r="F2264" s="11">
        <f>ROUNDUP(E2264*Controls!$B$4,4)</f>
        <v/>
      </c>
      <c r="G2264" s="12">
        <f>F2264/E2264</f>
        <v/>
      </c>
      <c r="H2264" s="10">
        <f>(A2264-B2264-(D2264-1))/(A2264-(D2264-1))</f>
        <v/>
      </c>
      <c r="I2264" s="9">
        <f>A2264&amp;'x'&amp;B2264</f>
        <v/>
      </c>
      <c r="J2264" s="9">
        <f>IF(AND(G2264&gt;0.9,G2264&lt;1),"OK","CHECK")</f>
        <v/>
      </c>
    </row>
    <row r="2265">
      <c r="A2265" s="9" t="n">
        <v>49</v>
      </c>
      <c r="B2265" s="9" t="n">
        <v>48</v>
      </c>
      <c r="C2265" s="9" t="n">
        <v>1</v>
      </c>
      <c r="D2265" s="9" t="n">
        <v>1</v>
      </c>
      <c r="E2265" s="10">
        <f>COMBIN(A2265,D2265)/COMBIN(A2265-B2265,D2265)</f>
        <v/>
      </c>
      <c r="F2265" s="11">
        <f>ROUNDUP(E2265*Controls!$B$4,4)</f>
        <v/>
      </c>
      <c r="G2265" s="12">
        <f>F2265/E2265</f>
        <v/>
      </c>
      <c r="H2265" s="10">
        <f>(A2265-B2265-(D2265-1))/(A2265-(D2265-1))</f>
        <v/>
      </c>
      <c r="I2265" s="9">
        <f>A2265&amp;'x'&amp;B2265</f>
        <v/>
      </c>
      <c r="J2265" s="9">
        <f>IF(AND(G2265&gt;0.9,G2265&lt;1),"OK","CHECK")</f>
        <v/>
      </c>
    </row>
  </sheetData>
  <conditionalFormatting sqref="J4:J2265">
    <cfRule type="cellIs" priority="1" operator="equal" dxfId="0">
      <formula>"OK"</formula>
    </cfRule>
    <cfRule type="cellIs" priority="2" operator="equal" dxfId="1">
      <formula>"CHECK"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8" customWidth="1" min="10" max="10"/>
  </cols>
  <sheetData>
    <row r="1">
      <c r="A1" s="1" t="inlineStr">
        <is>
          <t>Config Summary</t>
        </is>
      </c>
    </row>
    <row r="2">
      <c r="A2" s="2" t="inlineStr">
        <is>
          <t>One row per grid_size / mine_count combination</t>
        </is>
      </c>
    </row>
    <row r="3">
      <c r="A3" s="8" t="inlineStr">
        <is>
          <t>grid_size</t>
        </is>
      </c>
      <c r="B3" s="8" t="inlineStr">
        <is>
          <t>mine_count</t>
        </is>
      </c>
      <c r="C3" s="8" t="inlineStr">
        <is>
          <t>max_safe_reveals</t>
        </is>
      </c>
      <c r="D3" s="8" t="inlineStr">
        <is>
          <t>row_count</t>
        </is>
      </c>
      <c r="E3" s="8" t="inlineStr">
        <is>
          <t>min_actual_rtp</t>
        </is>
      </c>
      <c r="F3" s="8" t="inlineStr">
        <is>
          <t>max_actual_rtp</t>
        </is>
      </c>
      <c r="G3" s="8" t="inlineStr">
        <is>
          <t>avg_actual_rtp</t>
        </is>
      </c>
      <c r="H3" s="8" t="inlineStr">
        <is>
          <t>first_step_runtime</t>
        </is>
      </c>
      <c r="I3" s="8" t="inlineStr">
        <is>
          <t>last_step_runtime</t>
        </is>
      </c>
      <c r="J3" s="8" t="inlineStr">
        <is>
          <t>status</t>
        </is>
      </c>
    </row>
    <row r="4">
      <c r="A4" s="9" t="n">
        <v>9</v>
      </c>
      <c r="B4" s="9" t="n">
        <v>1</v>
      </c>
      <c r="C4" s="9" t="n">
        <v>8</v>
      </c>
      <c r="D4" s="9" t="n">
        <v>8</v>
      </c>
      <c r="E4" s="12" t="n">
        <v>0.9000999999999999</v>
      </c>
      <c r="F4" s="12" t="n">
        <v>0.9001777777777777</v>
      </c>
      <c r="G4" s="12" t="n">
        <v>0.9001236111111111</v>
      </c>
      <c r="H4" s="11" t="n">
        <v>1.0127</v>
      </c>
      <c r="I4" s="11" t="n">
        <v>8.100899999999999</v>
      </c>
      <c r="J4" s="9" t="inlineStr">
        <is>
          <t>OK</t>
        </is>
      </c>
    </row>
    <row r="5">
      <c r="A5" s="9" t="n">
        <v>9</v>
      </c>
      <c r="B5" s="9" t="n">
        <v>2</v>
      </c>
      <c r="C5" s="9" t="n">
        <v>7</v>
      </c>
      <c r="D5" s="9" t="n">
        <v>7</v>
      </c>
      <c r="E5" s="12" t="n">
        <v>0.9000999999999999</v>
      </c>
      <c r="F5" s="12" t="n">
        <v>0.9001416666666666</v>
      </c>
      <c r="G5" s="12" t="n">
        <v>0.9001142857142856</v>
      </c>
      <c r="H5" s="11" t="n">
        <v>1.1573</v>
      </c>
      <c r="I5" s="11" t="n">
        <v>32.4036</v>
      </c>
      <c r="J5" s="9" t="inlineStr">
        <is>
          <t>OK</t>
        </is>
      </c>
    </row>
    <row r="6">
      <c r="A6" s="9" t="n">
        <v>9</v>
      </c>
      <c r="B6" s="9" t="n">
        <v>3</v>
      </c>
      <c r="C6" s="9" t="n">
        <v>6</v>
      </c>
      <c r="D6" s="9" t="n">
        <v>6</v>
      </c>
      <c r="E6" s="12" t="n">
        <v>0.9001</v>
      </c>
      <c r="F6" s="12" t="n">
        <v>0.9001333333333333</v>
      </c>
      <c r="G6" s="12" t="n">
        <v>0.9001140873015873</v>
      </c>
      <c r="H6" s="11" t="n">
        <v>1.3502</v>
      </c>
      <c r="I6" s="11" t="n">
        <v>75.6084</v>
      </c>
      <c r="J6" s="9" t="inlineStr">
        <is>
          <t>OK</t>
        </is>
      </c>
    </row>
    <row r="7">
      <c r="A7" s="9" t="n">
        <v>9</v>
      </c>
      <c r="B7" s="9" t="n">
        <v>4</v>
      </c>
      <c r="C7" s="9" t="n">
        <v>5</v>
      </c>
      <c r="D7" s="9" t="n">
        <v>5</v>
      </c>
      <c r="E7" s="12" t="n">
        <v>0.9001007936507937</v>
      </c>
      <c r="F7" s="12" t="n">
        <v>0.9001111111111111</v>
      </c>
      <c r="G7" s="12" t="n">
        <v>0.9001066666666667</v>
      </c>
      <c r="H7" s="11" t="n">
        <v>1.6202</v>
      </c>
      <c r="I7" s="11" t="n">
        <v>113.4127</v>
      </c>
      <c r="J7" s="9" t="inlineStr">
        <is>
          <t>OK</t>
        </is>
      </c>
    </row>
    <row r="8">
      <c r="A8" s="9" t="n">
        <v>9</v>
      </c>
      <c r="B8" s="9" t="n">
        <v>5</v>
      </c>
      <c r="C8" s="9" t="n">
        <v>4</v>
      </c>
      <c r="D8" s="9" t="n">
        <v>4</v>
      </c>
      <c r="E8" s="12" t="n">
        <v>0.9001</v>
      </c>
      <c r="F8" s="12" t="n">
        <v>0.9001333333333333</v>
      </c>
      <c r="G8" s="12" t="n">
        <v>0.9001085317460318</v>
      </c>
      <c r="H8" s="11" t="n">
        <v>2.0253</v>
      </c>
      <c r="I8" s="11" t="n">
        <v>113.4127</v>
      </c>
      <c r="J8" s="9" t="inlineStr">
        <is>
          <t>OK</t>
        </is>
      </c>
    </row>
    <row r="9">
      <c r="A9" s="9" t="n">
        <v>9</v>
      </c>
      <c r="B9" s="9" t="n">
        <v>6</v>
      </c>
      <c r="C9" s="9" t="n">
        <v>3</v>
      </c>
      <c r="D9" s="9" t="n">
        <v>3</v>
      </c>
      <c r="E9" s="12" t="n">
        <v>0.9001</v>
      </c>
      <c r="F9" s="12" t="n">
        <v>0.9001</v>
      </c>
      <c r="G9" s="12" t="n">
        <v>0.9001</v>
      </c>
      <c r="H9" s="11" t="n">
        <v>2.7003</v>
      </c>
      <c r="I9" s="11" t="n">
        <v>75.6084</v>
      </c>
      <c r="J9" s="9" t="inlineStr">
        <is>
          <t>OK</t>
        </is>
      </c>
    </row>
    <row r="10">
      <c r="A10" s="9" t="n">
        <v>9</v>
      </c>
      <c r="B10" s="9" t="n">
        <v>7</v>
      </c>
      <c r="C10" s="9" t="n">
        <v>2</v>
      </c>
      <c r="D10" s="9" t="n">
        <v>2</v>
      </c>
      <c r="E10" s="12" t="n">
        <v>0.9000999999999999</v>
      </c>
      <c r="F10" s="12" t="n">
        <v>0.9001111111111112</v>
      </c>
      <c r="G10" s="12" t="n">
        <v>0.9001055555555555</v>
      </c>
      <c r="H10" s="11" t="n">
        <v>4.0505</v>
      </c>
      <c r="I10" s="11" t="n">
        <v>32.4036</v>
      </c>
      <c r="J10" s="9" t="inlineStr">
        <is>
          <t>OK</t>
        </is>
      </c>
    </row>
    <row r="11">
      <c r="A11" s="9" t="n">
        <v>9</v>
      </c>
      <c r="B11" s="9" t="n">
        <v>8</v>
      </c>
      <c r="C11" s="9" t="n">
        <v>1</v>
      </c>
      <c r="D11" s="9" t="n">
        <v>1</v>
      </c>
      <c r="E11" s="12" t="n">
        <v>0.9000999999999999</v>
      </c>
      <c r="F11" s="12" t="n">
        <v>0.9000999999999999</v>
      </c>
      <c r="G11" s="12" t="n">
        <v>0.9000999999999999</v>
      </c>
      <c r="H11" s="11" t="n">
        <v>8.100899999999999</v>
      </c>
      <c r="I11" s="11" t="n">
        <v>8.100899999999999</v>
      </c>
      <c r="J11" s="9" t="inlineStr">
        <is>
          <t>OK</t>
        </is>
      </c>
    </row>
    <row r="12">
      <c r="A12" s="9" t="n">
        <v>16</v>
      </c>
      <c r="B12" s="9" t="n">
        <v>1</v>
      </c>
      <c r="C12" s="9" t="n">
        <v>15</v>
      </c>
      <c r="D12" s="9" t="n">
        <v>15</v>
      </c>
      <c r="E12" s="12" t="n">
        <v>0.9001</v>
      </c>
      <c r="F12" s="12" t="n">
        <v>0.9001875</v>
      </c>
      <c r="G12" s="12" t="n">
        <v>0.9001241666666667</v>
      </c>
      <c r="H12" s="11" t="n">
        <v>0.9602000000000001</v>
      </c>
      <c r="I12" s="11" t="n">
        <v>14.4016</v>
      </c>
      <c r="J12" s="9" t="inlineStr">
        <is>
          <t>OK</t>
        </is>
      </c>
    </row>
    <row r="13">
      <c r="A13" s="9" t="n">
        <v>16</v>
      </c>
      <c r="B13" s="9" t="n">
        <v>2</v>
      </c>
      <c r="C13" s="9" t="n">
        <v>14</v>
      </c>
      <c r="D13" s="9" t="n">
        <v>14</v>
      </c>
      <c r="E13" s="12" t="n">
        <v>0.9000999999999999</v>
      </c>
      <c r="F13" s="12" t="n">
        <v>0.9001416666666667</v>
      </c>
      <c r="G13" s="12" t="n">
        <v>0.9001126785714286</v>
      </c>
      <c r="H13" s="11" t="n">
        <v>1.0287</v>
      </c>
      <c r="I13" s="11" t="n">
        <v>108.0121</v>
      </c>
      <c r="J13" s="9" t="inlineStr">
        <is>
          <t>OK</t>
        </is>
      </c>
    </row>
    <row r="14">
      <c r="A14" s="9" t="n">
        <v>16</v>
      </c>
      <c r="B14" s="9" t="n">
        <v>3</v>
      </c>
      <c r="C14" s="9" t="n">
        <v>13</v>
      </c>
      <c r="D14" s="9" t="n">
        <v>13</v>
      </c>
      <c r="E14" s="12" t="n">
        <v>0.9000999999999999</v>
      </c>
      <c r="F14" s="12" t="n">
        <v>0.9001687500000001</v>
      </c>
      <c r="G14" s="12" t="n">
        <v>0.9001118818681318</v>
      </c>
      <c r="H14" s="11" t="n">
        <v>1.1079</v>
      </c>
      <c r="I14" s="11" t="n">
        <v>504.0561</v>
      </c>
      <c r="J14" s="9" t="inlineStr">
        <is>
          <t>OK</t>
        </is>
      </c>
    </row>
    <row r="15">
      <c r="A15" s="9" t="n">
        <v>16</v>
      </c>
      <c r="B15" s="9" t="n">
        <v>4</v>
      </c>
      <c r="C15" s="9" t="n">
        <v>12</v>
      </c>
      <c r="D15" s="9" t="n">
        <v>12</v>
      </c>
      <c r="E15" s="12" t="n">
        <v>0.9001</v>
      </c>
      <c r="F15" s="12" t="n">
        <v>0.90015</v>
      </c>
      <c r="G15" s="12" t="n">
        <v>0.9001096932234433</v>
      </c>
      <c r="H15" s="11" t="n">
        <v>1.2002</v>
      </c>
      <c r="I15" s="11" t="n">
        <v>1638.1821</v>
      </c>
      <c r="J15" s="9" t="inlineStr">
        <is>
          <t>OK</t>
        </is>
      </c>
    </row>
    <row r="16">
      <c r="A16" s="9" t="n">
        <v>16</v>
      </c>
      <c r="B16" s="9" t="n">
        <v>5</v>
      </c>
      <c r="C16" s="9" t="n">
        <v>11</v>
      </c>
      <c r="D16" s="9" t="n">
        <v>11</v>
      </c>
      <c r="E16" s="12" t="n">
        <v>0.9001000228937729</v>
      </c>
      <c r="F16" s="12" t="n">
        <v>0.9001437499999999</v>
      </c>
      <c r="G16" s="12" t="n">
        <v>0.9001077006327006</v>
      </c>
      <c r="H16" s="11" t="n">
        <v>1.3093</v>
      </c>
      <c r="I16" s="11" t="n">
        <v>3931.6369</v>
      </c>
      <c r="J16" s="9" t="inlineStr">
        <is>
          <t>OK</t>
        </is>
      </c>
    </row>
    <row r="17">
      <c r="A17" s="9" t="n">
        <v>16</v>
      </c>
      <c r="B17" s="9" t="n">
        <v>6</v>
      </c>
      <c r="C17" s="9" t="n">
        <v>10</v>
      </c>
      <c r="D17" s="9" t="n">
        <v>10</v>
      </c>
      <c r="E17" s="12" t="n">
        <v>0.9001000124875125</v>
      </c>
      <c r="F17" s="12" t="n">
        <v>0.900125</v>
      </c>
      <c r="G17" s="12" t="n">
        <v>0.9001055756743257</v>
      </c>
      <c r="H17" s="11" t="n">
        <v>1.4402</v>
      </c>
      <c r="I17" s="11" t="n">
        <v>7208.0009</v>
      </c>
      <c r="J17" s="9" t="inlineStr">
        <is>
          <t>OK</t>
        </is>
      </c>
    </row>
    <row r="18">
      <c r="A18" s="9" t="n">
        <v>16</v>
      </c>
      <c r="B18" s="9" t="n">
        <v>7</v>
      </c>
      <c r="C18" s="9" t="n">
        <v>9</v>
      </c>
      <c r="D18" s="9" t="n">
        <v>9</v>
      </c>
      <c r="E18" s="12" t="n">
        <v>0.9001000087412587</v>
      </c>
      <c r="F18" s="12" t="n">
        <v>0.9001199999999999</v>
      </c>
      <c r="G18" s="12" t="n">
        <v>0.900104795066045</v>
      </c>
      <c r="H18" s="11" t="n">
        <v>1.6002</v>
      </c>
      <c r="I18" s="11" t="n">
        <v>10297.1441</v>
      </c>
      <c r="J18" s="9" t="inlineStr">
        <is>
          <t>OK</t>
        </is>
      </c>
    </row>
    <row r="19">
      <c r="A19" s="9" t="n">
        <v>16</v>
      </c>
      <c r="B19" s="9" t="n">
        <v>8</v>
      </c>
      <c r="C19" s="9" t="n">
        <v>8</v>
      </c>
      <c r="D19" s="9" t="n">
        <v>8</v>
      </c>
      <c r="E19" s="12" t="n">
        <v>0.9000999999999999</v>
      </c>
      <c r="F19" s="12" t="n">
        <v>0.9001066666666667</v>
      </c>
      <c r="G19" s="12" t="n">
        <v>0.900101047008547</v>
      </c>
      <c r="H19" s="11" t="n">
        <v>1.8002</v>
      </c>
      <c r="I19" s="11" t="n">
        <v>11584.2871</v>
      </c>
      <c r="J19" s="9" t="inlineStr">
        <is>
          <t>OK</t>
        </is>
      </c>
    </row>
    <row r="20">
      <c r="A20" s="9" t="n">
        <v>16</v>
      </c>
      <c r="B20" s="9" t="n">
        <v>9</v>
      </c>
      <c r="C20" s="9" t="n">
        <v>7</v>
      </c>
      <c r="D20" s="9" t="n">
        <v>7</v>
      </c>
      <c r="E20" s="12" t="n">
        <v>0.9001</v>
      </c>
      <c r="F20" s="12" t="n">
        <v>0.9001125000000001</v>
      </c>
      <c r="G20" s="12" t="n">
        <v>0.9001036538461539</v>
      </c>
      <c r="H20" s="11" t="n">
        <v>2.0574</v>
      </c>
      <c r="I20" s="11" t="n">
        <v>10297.1441</v>
      </c>
      <c r="J20" s="9" t="inlineStr">
        <is>
          <t>OK</t>
        </is>
      </c>
    </row>
    <row r="21">
      <c r="A21" s="9" t="n">
        <v>16</v>
      </c>
      <c r="B21" s="9" t="n">
        <v>10</v>
      </c>
      <c r="C21" s="9" t="n">
        <v>6</v>
      </c>
      <c r="D21" s="9" t="n">
        <v>6</v>
      </c>
      <c r="E21" s="12" t="n">
        <v>0.9001</v>
      </c>
      <c r="F21" s="12" t="n">
        <v>0.9001125000000001</v>
      </c>
      <c r="G21" s="12" t="n">
        <v>0.9001021998834499</v>
      </c>
      <c r="H21" s="11" t="n">
        <v>2.4003</v>
      </c>
      <c r="I21" s="11" t="n">
        <v>7208.0009</v>
      </c>
      <c r="J21" s="9" t="inlineStr">
        <is>
          <t>OK</t>
        </is>
      </c>
    </row>
    <row r="22">
      <c r="A22" s="9" t="n">
        <v>16</v>
      </c>
      <c r="B22" s="9" t="n">
        <v>11</v>
      </c>
      <c r="C22" s="9" t="n">
        <v>5</v>
      </c>
      <c r="D22" s="9" t="n">
        <v>5</v>
      </c>
      <c r="E22" s="12" t="n">
        <v>0.9001</v>
      </c>
      <c r="F22" s="12" t="n">
        <v>0.900125</v>
      </c>
      <c r="G22" s="12" t="n">
        <v>0.9001050595238095</v>
      </c>
      <c r="H22" s="11" t="n">
        <v>2.8804</v>
      </c>
      <c r="I22" s="11" t="n">
        <v>3931.6369</v>
      </c>
      <c r="J22" s="9" t="inlineStr">
        <is>
          <t>OK</t>
        </is>
      </c>
    </row>
    <row r="23">
      <c r="A23" s="9" t="n">
        <v>16</v>
      </c>
      <c r="B23" s="9" t="n">
        <v>12</v>
      </c>
      <c r="C23" s="9" t="n">
        <v>4</v>
      </c>
      <c r="D23" s="9" t="n">
        <v>4</v>
      </c>
      <c r="E23" s="12" t="n">
        <v>0.9000999999999999</v>
      </c>
      <c r="F23" s="12" t="n">
        <v>0.9001007142857143</v>
      </c>
      <c r="G23" s="12" t="n">
        <v>0.9001001923076923</v>
      </c>
      <c r="H23" s="11" t="n">
        <v>3.6004</v>
      </c>
      <c r="I23" s="11" t="n">
        <v>1638.1821</v>
      </c>
      <c r="J23" s="9" t="inlineStr">
        <is>
          <t>OK</t>
        </is>
      </c>
    </row>
    <row r="24">
      <c r="A24" s="9" t="n">
        <v>16</v>
      </c>
      <c r="B24" s="9" t="n">
        <v>13</v>
      </c>
      <c r="C24" s="9" t="n">
        <v>3</v>
      </c>
      <c r="D24" s="9" t="n">
        <v>3</v>
      </c>
      <c r="E24" s="12" t="n">
        <v>0.9000999999999999</v>
      </c>
      <c r="F24" s="12" t="n">
        <v>0.9001125000000001</v>
      </c>
      <c r="G24" s="12" t="n">
        <v>0.9001042261904761</v>
      </c>
      <c r="H24" s="11" t="n">
        <v>4.8006</v>
      </c>
      <c r="I24" s="11" t="n">
        <v>504.0561</v>
      </c>
      <c r="J24" s="9" t="inlineStr">
        <is>
          <t>OK</t>
        </is>
      </c>
    </row>
    <row r="25">
      <c r="A25" s="9" t="n">
        <v>16</v>
      </c>
      <c r="B25" s="9" t="n">
        <v>14</v>
      </c>
      <c r="C25" s="9" t="n">
        <v>2</v>
      </c>
      <c r="D25" s="9" t="n">
        <v>2</v>
      </c>
      <c r="E25" s="12" t="n">
        <v>0.9001</v>
      </c>
      <c r="F25" s="12" t="n">
        <v>0.9001008333333333</v>
      </c>
      <c r="G25" s="12" t="n">
        <v>0.9001004166666666</v>
      </c>
      <c r="H25" s="11" t="n">
        <v>7.2008</v>
      </c>
      <c r="I25" s="11" t="n">
        <v>108.0121</v>
      </c>
      <c r="J25" s="9" t="inlineStr">
        <is>
          <t>OK</t>
        </is>
      </c>
    </row>
    <row r="26">
      <c r="A26" s="9" t="n">
        <v>16</v>
      </c>
      <c r="B26" s="9" t="n">
        <v>15</v>
      </c>
      <c r="C26" s="9" t="n">
        <v>1</v>
      </c>
      <c r="D26" s="9" t="n">
        <v>1</v>
      </c>
      <c r="E26" s="12" t="n">
        <v>0.9001</v>
      </c>
      <c r="F26" s="12" t="n">
        <v>0.9001</v>
      </c>
      <c r="G26" s="12" t="n">
        <v>0.9001</v>
      </c>
      <c r="H26" s="11" t="n">
        <v>14.4016</v>
      </c>
      <c r="I26" s="11" t="n">
        <v>14.4016</v>
      </c>
      <c r="J26" s="9" t="inlineStr">
        <is>
          <t>OK</t>
        </is>
      </c>
    </row>
    <row r="27">
      <c r="A27" s="9" t="n">
        <v>25</v>
      </c>
      <c r="B27" s="9" t="n">
        <v>1</v>
      </c>
      <c r="C27" s="9" t="n">
        <v>24</v>
      </c>
      <c r="D27" s="9" t="n">
        <v>24</v>
      </c>
      <c r="E27" s="12" t="n">
        <v>0.9000999999999999</v>
      </c>
      <c r="F27" s="12" t="n">
        <v>0.9001919999999999</v>
      </c>
      <c r="G27" s="12" t="n">
        <v>0.9001288333333333</v>
      </c>
      <c r="H27" s="11" t="n">
        <v>0.9377</v>
      </c>
      <c r="I27" s="11" t="n">
        <v>22.5025</v>
      </c>
      <c r="J27" s="9" t="inlineStr">
        <is>
          <t>OK</t>
        </is>
      </c>
    </row>
    <row r="28">
      <c r="A28" s="9" t="n">
        <v>25</v>
      </c>
      <c r="B28" s="9" t="n">
        <v>2</v>
      </c>
      <c r="C28" s="9" t="n">
        <v>23</v>
      </c>
      <c r="D28" s="9" t="n">
        <v>23</v>
      </c>
      <c r="E28" s="12" t="n">
        <v>0.9000999999999999</v>
      </c>
      <c r="F28" s="12" t="n">
        <v>0.9001739999999999</v>
      </c>
      <c r="G28" s="12" t="n">
        <v>0.9001206231884058</v>
      </c>
      <c r="H28" s="11" t="n">
        <v>0.9784</v>
      </c>
      <c r="I28" s="11" t="n">
        <v>270.0301</v>
      </c>
      <c r="J28" s="9" t="inlineStr">
        <is>
          <t>OK</t>
        </is>
      </c>
    </row>
    <row r="29">
      <c r="A29" s="9" t="n">
        <v>25</v>
      </c>
      <c r="B29" s="9" t="n">
        <v>3</v>
      </c>
      <c r="C29" s="9" t="n">
        <v>22</v>
      </c>
      <c r="D29" s="9" t="n">
        <v>22</v>
      </c>
      <c r="E29" s="12" t="n">
        <v>0.9001</v>
      </c>
      <c r="F29" s="12" t="n">
        <v>0.9001634782608696</v>
      </c>
      <c r="G29" s="12" t="n">
        <v>0.9001123636363636</v>
      </c>
      <c r="H29" s="11" t="n">
        <v>1.0229</v>
      </c>
      <c r="I29" s="11" t="n">
        <v>2070.2301</v>
      </c>
      <c r="J29" s="9" t="inlineStr">
        <is>
          <t>OK</t>
        </is>
      </c>
    </row>
    <row r="30">
      <c r="A30" s="9" t="n">
        <v>25</v>
      </c>
      <c r="B30" s="9" t="n">
        <v>4</v>
      </c>
      <c r="C30" s="9" t="n">
        <v>21</v>
      </c>
      <c r="D30" s="9" t="n">
        <v>21</v>
      </c>
      <c r="E30" s="12" t="n">
        <v>0.9001000079051383</v>
      </c>
      <c r="F30" s="12" t="n">
        <v>0.9001440000000001</v>
      </c>
      <c r="G30" s="12" t="n">
        <v>0.9001101769245248</v>
      </c>
      <c r="H30" s="11" t="n">
        <v>1.0716</v>
      </c>
      <c r="I30" s="11" t="n">
        <v>11386.2651</v>
      </c>
      <c r="J30" s="9" t="inlineStr">
        <is>
          <t>OK</t>
        </is>
      </c>
    </row>
    <row r="31">
      <c r="A31" s="9" t="n">
        <v>25</v>
      </c>
      <c r="B31" s="9" t="n">
        <v>5</v>
      </c>
      <c r="C31" s="9" t="n">
        <v>20</v>
      </c>
      <c r="D31" s="9" t="n">
        <v>20</v>
      </c>
      <c r="E31" s="12" t="n">
        <v>0.9001</v>
      </c>
      <c r="F31" s="12" t="n">
        <v>0.90016</v>
      </c>
      <c r="G31" s="12" t="n">
        <v>0.9001110175042348</v>
      </c>
      <c r="H31" s="11" t="n">
        <v>1.1252</v>
      </c>
      <c r="I31" s="11" t="n">
        <v>47822.3131</v>
      </c>
      <c r="J31" s="9" t="inlineStr">
        <is>
          <t>OK</t>
        </is>
      </c>
    </row>
    <row r="32">
      <c r="A32" s="9" t="n">
        <v>25</v>
      </c>
      <c r="B32" s="9" t="n">
        <v>6</v>
      </c>
      <c r="C32" s="9" t="n">
        <v>19</v>
      </c>
      <c r="D32" s="9" t="n">
        <v>19</v>
      </c>
      <c r="E32" s="12" t="n">
        <v>0.9001000005646527</v>
      </c>
      <c r="F32" s="12" t="n">
        <v>0.9001440000000001</v>
      </c>
      <c r="G32" s="12" t="n">
        <v>0.9001077128295046</v>
      </c>
      <c r="H32" s="11" t="n">
        <v>1.1844</v>
      </c>
      <c r="I32" s="11" t="n">
        <v>159407.7101</v>
      </c>
      <c r="J32" s="9" t="inlineStr">
        <is>
          <t>OK</t>
        </is>
      </c>
    </row>
    <row r="33">
      <c r="A33" s="9" t="n">
        <v>25</v>
      </c>
      <c r="B33" s="9" t="n">
        <v>7</v>
      </c>
      <c r="C33" s="9" t="n">
        <v>18</v>
      </c>
      <c r="D33" s="9" t="n">
        <v>18</v>
      </c>
      <c r="E33" s="12" t="n">
        <v>0.9001000002080299</v>
      </c>
      <c r="F33" s="12" t="n">
        <v>0.90015</v>
      </c>
      <c r="G33" s="12" t="n">
        <v>0.9001093040473384</v>
      </c>
      <c r="H33" s="11" t="n">
        <v>1.2502</v>
      </c>
      <c r="I33" s="11" t="n">
        <v>432678.0701</v>
      </c>
      <c r="J33" s="9" t="inlineStr">
        <is>
          <t>OK</t>
        </is>
      </c>
    </row>
    <row r="34">
      <c r="A34" s="9" t="n">
        <v>25</v>
      </c>
      <c r="B34" s="9" t="n">
        <v>8</v>
      </c>
      <c r="C34" s="9" t="n">
        <v>17</v>
      </c>
      <c r="D34" s="9" t="n">
        <v>17</v>
      </c>
      <c r="E34" s="12" t="n">
        <v>0.9001000000924578</v>
      </c>
      <c r="F34" s="12" t="n">
        <v>0.9001386666666666</v>
      </c>
      <c r="G34" s="12" t="n">
        <v>0.9001054239256204</v>
      </c>
      <c r="H34" s="11" t="n">
        <v>1.3237</v>
      </c>
      <c r="I34" s="11" t="n">
        <v>973525.6576</v>
      </c>
      <c r="J34" s="9" t="inlineStr">
        <is>
          <t>OK</t>
        </is>
      </c>
    </row>
    <row r="35">
      <c r="A35" s="9" t="n">
        <v>25</v>
      </c>
      <c r="B35" s="9" t="n">
        <v>9</v>
      </c>
      <c r="C35" s="9" t="n">
        <v>16</v>
      </c>
      <c r="D35" s="9" t="n">
        <v>16</v>
      </c>
      <c r="E35" s="12" t="n">
        <v>0.9001000000489482</v>
      </c>
      <c r="F35" s="12" t="n">
        <v>0.9001600000000001</v>
      </c>
      <c r="G35" s="12" t="n">
        <v>0.9001067228153795</v>
      </c>
      <c r="H35" s="11" t="n">
        <v>1.4065</v>
      </c>
      <c r="I35" s="11" t="n">
        <v>1838881.7976</v>
      </c>
      <c r="J35" s="9" t="inlineStr">
        <is>
          <t>OK</t>
        </is>
      </c>
    </row>
    <row r="36">
      <c r="A36" s="9" t="n">
        <v>25</v>
      </c>
      <c r="B36" s="9" t="n">
        <v>10</v>
      </c>
      <c r="C36" s="9" t="n">
        <v>15</v>
      </c>
      <c r="D36" s="9" t="n">
        <v>15</v>
      </c>
      <c r="E36" s="12" t="n">
        <v>0.9001000000305927</v>
      </c>
      <c r="F36" s="12" t="n">
        <v>0.90013</v>
      </c>
      <c r="G36" s="12" t="n">
        <v>0.9001043257585954</v>
      </c>
      <c r="H36" s="11" t="n">
        <v>1.5002</v>
      </c>
      <c r="I36" s="11" t="n">
        <v>2942210.8761</v>
      </c>
      <c r="J36" s="9" t="inlineStr">
        <is>
          <t>OK</t>
        </is>
      </c>
    </row>
    <row r="37">
      <c r="A37" s="9" t="n">
        <v>25</v>
      </c>
      <c r="B37" s="9" t="n">
        <v>11</v>
      </c>
      <c r="C37" s="9" t="n">
        <v>14</v>
      </c>
      <c r="D37" s="9" t="n">
        <v>14</v>
      </c>
      <c r="E37" s="12" t="n">
        <v>0.9001000000224346</v>
      </c>
      <c r="F37" s="12" t="n">
        <v>0.9001439999999999</v>
      </c>
      <c r="G37" s="12" t="n">
        <v>0.9001048197443737</v>
      </c>
      <c r="H37" s="11" t="n">
        <v>1.6074</v>
      </c>
      <c r="I37" s="11" t="n">
        <v>4012105.7401</v>
      </c>
      <c r="J37" s="9" t="inlineStr">
        <is>
          <t>OK</t>
        </is>
      </c>
    </row>
    <row r="38">
      <c r="A38" s="9" t="n">
        <v>25</v>
      </c>
      <c r="B38" s="9" t="n">
        <v>12</v>
      </c>
      <c r="C38" s="9" t="n">
        <v>13</v>
      </c>
      <c r="D38" s="9" t="n">
        <v>13</v>
      </c>
      <c r="E38" s="12" t="n">
        <v>0.9001000000192296</v>
      </c>
      <c r="F38" s="12" t="n">
        <v>0.90012</v>
      </c>
      <c r="G38" s="12" t="n">
        <v>0.9001037309282452</v>
      </c>
      <c r="H38" s="11" t="n">
        <v>1.731</v>
      </c>
      <c r="I38" s="11" t="n">
        <v>4680790.0301</v>
      </c>
      <c r="J38" s="9" t="inlineStr">
        <is>
          <t>OK</t>
        </is>
      </c>
    </row>
    <row r="39">
      <c r="A39" s="9" t="n">
        <v>25</v>
      </c>
      <c r="B39" s="9" t="n">
        <v>13</v>
      </c>
      <c r="C39" s="9" t="n">
        <v>12</v>
      </c>
      <c r="D39" s="9" t="n">
        <v>12</v>
      </c>
      <c r="E39" s="12" t="n">
        <v>0.9001000000192296</v>
      </c>
      <c r="F39" s="12" t="n">
        <v>0.9001439999999999</v>
      </c>
      <c r="G39" s="12" t="n">
        <v>0.9001051192014563</v>
      </c>
      <c r="H39" s="11" t="n">
        <v>1.8753</v>
      </c>
      <c r="I39" s="11" t="n">
        <v>4680790.0301</v>
      </c>
      <c r="J39" s="9" t="inlineStr">
        <is>
          <t>OK</t>
        </is>
      </c>
    </row>
    <row r="40">
      <c r="A40" s="9" t="n">
        <v>25</v>
      </c>
      <c r="B40" s="9" t="n">
        <v>14</v>
      </c>
      <c r="C40" s="9" t="n">
        <v>11</v>
      </c>
      <c r="D40" s="9" t="n">
        <v>11</v>
      </c>
      <c r="E40" s="12" t="n">
        <v>0.9001</v>
      </c>
      <c r="F40" s="12" t="n">
        <v>0.9001116666666668</v>
      </c>
      <c r="G40" s="12" t="n">
        <v>0.90010230150475</v>
      </c>
      <c r="H40" s="11" t="n">
        <v>2.0457</v>
      </c>
      <c r="I40" s="11" t="n">
        <v>4012105.7401</v>
      </c>
      <c r="J40" s="9" t="inlineStr">
        <is>
          <t>OK</t>
        </is>
      </c>
    </row>
    <row r="41">
      <c r="A41" s="9" t="n">
        <v>25</v>
      </c>
      <c r="B41" s="9" t="n">
        <v>15</v>
      </c>
      <c r="C41" s="9" t="n">
        <v>10</v>
      </c>
      <c r="D41" s="9" t="n">
        <v>10</v>
      </c>
      <c r="E41" s="12" t="n">
        <v>0.9001000000305927</v>
      </c>
      <c r="F41" s="12" t="n">
        <v>0.90012</v>
      </c>
      <c r="G41" s="12" t="n">
        <v>0.900103101650167</v>
      </c>
      <c r="H41" s="11" t="n">
        <v>2.2503</v>
      </c>
      <c r="I41" s="11" t="n">
        <v>2942210.8761</v>
      </c>
      <c r="J41" s="9" t="inlineStr">
        <is>
          <t>OK</t>
        </is>
      </c>
    </row>
    <row r="42">
      <c r="A42" s="9" t="n">
        <v>25</v>
      </c>
      <c r="B42" s="9" t="n">
        <v>16</v>
      </c>
      <c r="C42" s="9" t="n">
        <v>9</v>
      </c>
      <c r="D42" s="9" t="n">
        <v>9</v>
      </c>
      <c r="E42" s="12" t="n">
        <v>0.9001000000489482</v>
      </c>
      <c r="F42" s="12" t="n">
        <v>0.9001080000000001</v>
      </c>
      <c r="G42" s="12" t="n">
        <v>0.9001018290048146</v>
      </c>
      <c r="H42" s="11" t="n">
        <v>2.5003</v>
      </c>
      <c r="I42" s="11" t="n">
        <v>1838881.7976</v>
      </c>
      <c r="J42" s="9" t="inlineStr">
        <is>
          <t>OK</t>
        </is>
      </c>
    </row>
    <row r="43">
      <c r="A43" s="9" t="n">
        <v>25</v>
      </c>
      <c r="B43" s="9" t="n">
        <v>17</v>
      </c>
      <c r="C43" s="9" t="n">
        <v>8</v>
      </c>
      <c r="D43" s="9" t="n">
        <v>8</v>
      </c>
      <c r="E43" s="12" t="n">
        <v>0.9001000000924578</v>
      </c>
      <c r="F43" s="12" t="n">
        <v>0.900128</v>
      </c>
      <c r="G43" s="12" t="n">
        <v>0.9001044098652429</v>
      </c>
      <c r="H43" s="11" t="n">
        <v>2.8129</v>
      </c>
      <c r="I43" s="11" t="n">
        <v>973525.6576</v>
      </c>
      <c r="J43" s="9" t="inlineStr">
        <is>
          <t>OK</t>
        </is>
      </c>
    </row>
    <row r="44">
      <c r="A44" s="9" t="n">
        <v>25</v>
      </c>
      <c r="B44" s="9" t="n">
        <v>18</v>
      </c>
      <c r="C44" s="9" t="n">
        <v>7</v>
      </c>
      <c r="D44" s="9" t="n">
        <v>7</v>
      </c>
      <c r="E44" s="12" t="n">
        <v>0.9001000002080299</v>
      </c>
      <c r="F44" s="12" t="n">
        <v>0.900116</v>
      </c>
      <c r="G44" s="12" t="n">
        <v>0.9001027498885554</v>
      </c>
      <c r="H44" s="11" t="n">
        <v>3.2147</v>
      </c>
      <c r="I44" s="11" t="n">
        <v>432678.0701</v>
      </c>
      <c r="J44" s="9" t="inlineStr">
        <is>
          <t>OK</t>
        </is>
      </c>
    </row>
    <row r="45">
      <c r="A45" s="9" t="n">
        <v>25</v>
      </c>
      <c r="B45" s="9" t="n">
        <v>19</v>
      </c>
      <c r="C45" s="9" t="n">
        <v>6</v>
      </c>
      <c r="D45" s="9" t="n">
        <v>6</v>
      </c>
      <c r="E45" s="12" t="n">
        <v>0.9000999999999999</v>
      </c>
      <c r="F45" s="12" t="n">
        <v>0.90012</v>
      </c>
      <c r="G45" s="12" t="n">
        <v>0.9001033484848484</v>
      </c>
      <c r="H45" s="11" t="n">
        <v>3.7505</v>
      </c>
      <c r="I45" s="11" t="n">
        <v>159407.7101</v>
      </c>
      <c r="J45" s="9" t="inlineStr">
        <is>
          <t>OK</t>
        </is>
      </c>
    </row>
    <row r="46">
      <c r="A46" s="9" t="n">
        <v>25</v>
      </c>
      <c r="B46" s="9" t="n">
        <v>20</v>
      </c>
      <c r="C46" s="9" t="n">
        <v>5</v>
      </c>
      <c r="D46" s="9" t="n">
        <v>5</v>
      </c>
      <c r="E46" s="12" t="n">
        <v>0.9000999999999999</v>
      </c>
      <c r="F46" s="12" t="n">
        <v>0.9001004347826087</v>
      </c>
      <c r="G46" s="12" t="n">
        <v>0.9001000952380952</v>
      </c>
      <c r="H46" s="11" t="n">
        <v>4.5005</v>
      </c>
      <c r="I46" s="11" t="n">
        <v>47822.3131</v>
      </c>
      <c r="J46" s="9" t="inlineStr">
        <is>
          <t>OK</t>
        </is>
      </c>
    </row>
    <row r="47">
      <c r="A47" s="9" t="n">
        <v>25</v>
      </c>
      <c r="B47" s="9" t="n">
        <v>21</v>
      </c>
      <c r="C47" s="9" t="n">
        <v>4</v>
      </c>
      <c r="D47" s="9" t="n">
        <v>4</v>
      </c>
      <c r="E47" s="12" t="n">
        <v>0.9001</v>
      </c>
      <c r="F47" s="12" t="n">
        <v>0.900112</v>
      </c>
      <c r="G47" s="12" t="n">
        <v>0.9001030454545454</v>
      </c>
      <c r="H47" s="11" t="n">
        <v>5.6257</v>
      </c>
      <c r="I47" s="11" t="n">
        <v>11386.2651</v>
      </c>
      <c r="J47" s="9" t="inlineStr">
        <is>
          <t>OK</t>
        </is>
      </c>
    </row>
    <row r="48">
      <c r="A48" s="9" t="n">
        <v>25</v>
      </c>
      <c r="B48" s="9" t="n">
        <v>22</v>
      </c>
      <c r="C48" s="9" t="n">
        <v>3</v>
      </c>
      <c r="D48" s="9" t="n">
        <v>3</v>
      </c>
      <c r="E48" s="12" t="n">
        <v>0.9001</v>
      </c>
      <c r="F48" s="12" t="n">
        <v>0.9001079999999999</v>
      </c>
      <c r="G48" s="12" t="n">
        <v>0.9001026811594203</v>
      </c>
      <c r="H48" s="11" t="n">
        <v>7.5009</v>
      </c>
      <c r="I48" s="11" t="n">
        <v>2070.2301</v>
      </c>
      <c r="J48" s="9" t="inlineStr">
        <is>
          <t>OK</t>
        </is>
      </c>
    </row>
    <row r="49">
      <c r="A49" s="9" t="n">
        <v>25</v>
      </c>
      <c r="B49" s="9" t="n">
        <v>23</v>
      </c>
      <c r="C49" s="9" t="n">
        <v>2</v>
      </c>
      <c r="D49" s="9" t="n">
        <v>2</v>
      </c>
      <c r="E49" s="12" t="n">
        <v>0.9001003333333334</v>
      </c>
      <c r="F49" s="12" t="n">
        <v>0.900104</v>
      </c>
      <c r="G49" s="12" t="n">
        <v>0.9001021666666666</v>
      </c>
      <c r="H49" s="11" t="n">
        <v>11.2513</v>
      </c>
      <c r="I49" s="11" t="n">
        <v>270.0301</v>
      </c>
      <c r="J49" s="9" t="inlineStr">
        <is>
          <t>OK</t>
        </is>
      </c>
    </row>
    <row r="50">
      <c r="A50" s="9" t="n">
        <v>25</v>
      </c>
      <c r="B50" s="9" t="n">
        <v>24</v>
      </c>
      <c r="C50" s="9" t="n">
        <v>1</v>
      </c>
      <c r="D50" s="9" t="n">
        <v>1</v>
      </c>
      <c r="E50" s="12" t="n">
        <v>0.9001</v>
      </c>
      <c r="F50" s="12" t="n">
        <v>0.9001</v>
      </c>
      <c r="G50" s="12" t="n">
        <v>0.9001</v>
      </c>
      <c r="H50" s="11" t="n">
        <v>22.5025</v>
      </c>
      <c r="I50" s="11" t="n">
        <v>22.5025</v>
      </c>
      <c r="J50" s="9" t="inlineStr">
        <is>
          <t>OK</t>
        </is>
      </c>
    </row>
    <row r="51">
      <c r="A51" s="9" t="n">
        <v>36</v>
      </c>
      <c r="B51" s="9" t="n">
        <v>1</v>
      </c>
      <c r="C51" s="9" t="n">
        <v>35</v>
      </c>
      <c r="D51" s="9" t="n">
        <v>35</v>
      </c>
      <c r="E51" s="12" t="n">
        <v>0.9000999999999999</v>
      </c>
      <c r="F51" s="12" t="n">
        <v>0.9001805555555555</v>
      </c>
      <c r="G51" s="12" t="n">
        <v>0.900122380952381</v>
      </c>
      <c r="H51" s="11" t="n">
        <v>0.9258999999999999</v>
      </c>
      <c r="I51" s="11" t="n">
        <v>32.4036</v>
      </c>
      <c r="J51" s="9" t="inlineStr">
        <is>
          <t>OK</t>
        </is>
      </c>
    </row>
    <row r="52">
      <c r="A52" s="9" t="n">
        <v>36</v>
      </c>
      <c r="B52" s="9" t="n">
        <v>2</v>
      </c>
      <c r="C52" s="9" t="n">
        <v>34</v>
      </c>
      <c r="D52" s="9" t="n">
        <v>34</v>
      </c>
      <c r="E52" s="12" t="n">
        <v>0.9001</v>
      </c>
      <c r="F52" s="12" t="n">
        <v>0.9001823809523808</v>
      </c>
      <c r="G52" s="12" t="n">
        <v>0.9001148926237161</v>
      </c>
      <c r="H52" s="11" t="n">
        <v>0.9530999999999999</v>
      </c>
      <c r="I52" s="11" t="n">
        <v>567.0631</v>
      </c>
      <c r="J52" s="9" t="inlineStr">
        <is>
          <t>OK</t>
        </is>
      </c>
    </row>
    <row r="53">
      <c r="A53" s="9" t="n">
        <v>36</v>
      </c>
      <c r="B53" s="9" t="n">
        <v>3</v>
      </c>
      <c r="C53" s="9" t="n">
        <v>33</v>
      </c>
      <c r="D53" s="9" t="n">
        <v>33</v>
      </c>
      <c r="E53" s="12" t="n">
        <v>0.9001</v>
      </c>
      <c r="F53" s="12" t="n">
        <v>0.9001666666666667</v>
      </c>
      <c r="G53" s="12" t="n">
        <v>0.9001149435531789</v>
      </c>
      <c r="H53" s="11" t="n">
        <v>0.982</v>
      </c>
      <c r="I53" s="11" t="n">
        <v>6426.7141</v>
      </c>
      <c r="J53" s="9" t="inlineStr">
        <is>
          <t>OK</t>
        </is>
      </c>
    </row>
    <row r="54">
      <c r="A54" s="9" t="n">
        <v>36</v>
      </c>
      <c r="B54" s="9" t="n">
        <v>4</v>
      </c>
      <c r="C54" s="9" t="n">
        <v>32</v>
      </c>
      <c r="D54" s="9" t="n">
        <v>32</v>
      </c>
      <c r="E54" s="12" t="n">
        <v>0.9001000016976487</v>
      </c>
      <c r="F54" s="12" t="n">
        <v>0.9001777777777777</v>
      </c>
      <c r="G54" s="12" t="n">
        <v>0.9001120116607249</v>
      </c>
      <c r="H54" s="11" t="n">
        <v>1.0127</v>
      </c>
      <c r="I54" s="11" t="n">
        <v>53020.3906</v>
      </c>
      <c r="J54" s="9" t="inlineStr">
        <is>
          <t>OK</t>
        </is>
      </c>
    </row>
    <row r="55">
      <c r="A55" s="9" t="n">
        <v>36</v>
      </c>
      <c r="B55" s="9" t="n">
        <v>5</v>
      </c>
      <c r="C55" s="9" t="n">
        <v>31</v>
      </c>
      <c r="D55" s="9" t="n">
        <v>31</v>
      </c>
      <c r="E55" s="12" t="n">
        <v>0.9001</v>
      </c>
      <c r="F55" s="12" t="n">
        <v>0.9001417780748664</v>
      </c>
      <c r="G55" s="12" t="n">
        <v>0.9001054910551709</v>
      </c>
      <c r="H55" s="11" t="n">
        <v>1.0453</v>
      </c>
      <c r="I55" s="11" t="n">
        <v>339330.4993</v>
      </c>
      <c r="J55" s="9" t="inlineStr">
        <is>
          <t>OK</t>
        </is>
      </c>
    </row>
    <row r="56">
      <c r="A56" s="9" t="n">
        <v>36</v>
      </c>
      <c r="B56" s="9" t="n">
        <v>6</v>
      </c>
      <c r="C56" s="9" t="n">
        <v>30</v>
      </c>
      <c r="D56" s="9" t="n">
        <v>30</v>
      </c>
      <c r="E56" s="12" t="n">
        <v>0.9001000000513403</v>
      </c>
      <c r="F56" s="12" t="n">
        <v>0.9001666666666668</v>
      </c>
      <c r="G56" s="12" t="n">
        <v>0.9001069267406376</v>
      </c>
      <c r="H56" s="11" t="n">
        <v>1.0802</v>
      </c>
      <c r="I56" s="11" t="n">
        <v>1753207.5793</v>
      </c>
      <c r="J56" s="9" t="inlineStr">
        <is>
          <t>OK</t>
        </is>
      </c>
    </row>
    <row r="57">
      <c r="A57" s="9" t="n">
        <v>36</v>
      </c>
      <c r="B57" s="9" t="n">
        <v>7</v>
      </c>
      <c r="C57" s="9" t="n">
        <v>29</v>
      </c>
      <c r="D57" s="9" t="n">
        <v>29</v>
      </c>
      <c r="E57" s="12" t="n">
        <v>0.9001000000119794</v>
      </c>
      <c r="F57" s="12" t="n">
        <v>0.9001600000000001</v>
      </c>
      <c r="G57" s="12" t="n">
        <v>0.9001071538546824</v>
      </c>
      <c r="H57" s="11" t="n">
        <v>1.1174</v>
      </c>
      <c r="I57" s="11" t="n">
        <v>7513746.7681</v>
      </c>
      <c r="J57" s="9" t="inlineStr">
        <is>
          <t>OK</t>
        </is>
      </c>
    </row>
    <row r="58">
      <c r="A58" s="9" t="n">
        <v>36</v>
      </c>
      <c r="B58" s="9" t="n">
        <v>8</v>
      </c>
      <c r="C58" s="9" t="n">
        <v>28</v>
      </c>
      <c r="D58" s="9" t="n">
        <v>28</v>
      </c>
      <c r="E58" s="12" t="n">
        <v>0.9001000000033047</v>
      </c>
      <c r="F58" s="12" t="n">
        <v>0.9001283422459893</v>
      </c>
      <c r="G58" s="12" t="n">
        <v>0.9001047736948287</v>
      </c>
      <c r="H58" s="11" t="n">
        <v>1.1573</v>
      </c>
      <c r="I58" s="11" t="n">
        <v>27237332.0341</v>
      </c>
      <c r="J58" s="9" t="inlineStr">
        <is>
          <t>OK</t>
        </is>
      </c>
    </row>
    <row r="59">
      <c r="A59" s="9" t="n">
        <v>36</v>
      </c>
      <c r="B59" s="9" t="n">
        <v>9</v>
      </c>
      <c r="C59" s="9" t="n">
        <v>27</v>
      </c>
      <c r="D59" s="9" t="n">
        <v>27</v>
      </c>
      <c r="E59" s="12" t="n">
        <v>0.9001000000010622</v>
      </c>
      <c r="F59" s="12" t="n">
        <v>0.90015</v>
      </c>
      <c r="G59" s="12" t="n">
        <v>0.9001049820875081</v>
      </c>
      <c r="H59" s="11" t="n">
        <v>1.2002</v>
      </c>
      <c r="I59" s="11" t="n">
        <v>84738366.3281</v>
      </c>
      <c r="J59" s="9" t="inlineStr">
        <is>
          <t>OK</t>
        </is>
      </c>
    </row>
    <row r="60">
      <c r="A60" s="9" t="n">
        <v>36</v>
      </c>
      <c r="B60" s="9" t="n">
        <v>10</v>
      </c>
      <c r="C60" s="9" t="n">
        <v>26</v>
      </c>
      <c r="D60" s="9" t="n">
        <v>26</v>
      </c>
      <c r="E60" s="12" t="n">
        <v>0.9001000000003935</v>
      </c>
      <c r="F60" s="12" t="n">
        <v>0.9001468253968253</v>
      </c>
      <c r="G60" s="12" t="n">
        <v>0.9001051555380037</v>
      </c>
      <c r="H60" s="11" t="n">
        <v>1.2463</v>
      </c>
      <c r="I60" s="11" t="n">
        <v>228793589.0857</v>
      </c>
      <c r="J60" s="9" t="inlineStr">
        <is>
          <t>OK</t>
        </is>
      </c>
    </row>
    <row r="61">
      <c r="A61" s="9" t="n">
        <v>36</v>
      </c>
      <c r="B61" s="9" t="n">
        <v>11</v>
      </c>
      <c r="C61" s="9" t="n">
        <v>25</v>
      </c>
      <c r="D61" s="9" t="n">
        <v>25</v>
      </c>
      <c r="E61" s="12" t="n">
        <v>0.9001000000001664</v>
      </c>
      <c r="F61" s="12" t="n">
        <v>0.9001428571428571</v>
      </c>
      <c r="G61" s="12" t="n">
        <v>0.9001054513728122</v>
      </c>
      <c r="H61" s="11" t="n">
        <v>1.2962</v>
      </c>
      <c r="I61" s="11" t="n">
        <v>540784846.9297</v>
      </c>
      <c r="J61" s="9" t="inlineStr">
        <is>
          <t>OK</t>
        </is>
      </c>
    </row>
    <row r="62">
      <c r="A62" s="9" t="n">
        <v>36</v>
      </c>
      <c r="B62" s="9" t="n">
        <v>12</v>
      </c>
      <c r="C62" s="9" t="n">
        <v>24</v>
      </c>
      <c r="D62" s="9" t="n">
        <v>24</v>
      </c>
      <c r="E62" s="12" t="n">
        <v>0.9001000000000799</v>
      </c>
      <c r="F62" s="12" t="n">
        <v>0.9001333333333333</v>
      </c>
      <c r="G62" s="12" t="n">
        <v>0.9001030277674117</v>
      </c>
      <c r="H62" s="11" t="n">
        <v>1.3502</v>
      </c>
      <c r="I62" s="11" t="n">
        <v>1126635097.7701</v>
      </c>
      <c r="J62" s="9" t="inlineStr">
        <is>
          <t>OK</t>
        </is>
      </c>
    </row>
    <row r="63">
      <c r="A63" s="9" t="n">
        <v>36</v>
      </c>
      <c r="B63" s="9" t="n">
        <v>13</v>
      </c>
      <c r="C63" s="9" t="n">
        <v>23</v>
      </c>
      <c r="D63" s="9" t="n">
        <v>23</v>
      </c>
      <c r="E63" s="12" t="n">
        <v>0.9001000000000432</v>
      </c>
      <c r="F63" s="12" t="n">
        <v>0.9001305555555555</v>
      </c>
      <c r="G63" s="12" t="n">
        <v>0.9001037365110648</v>
      </c>
      <c r="H63" s="11" t="n">
        <v>1.4089</v>
      </c>
      <c r="I63" s="11" t="n">
        <v>2079941718.9601</v>
      </c>
      <c r="J63" s="9" t="inlineStr">
        <is>
          <t>OK</t>
        </is>
      </c>
    </row>
    <row r="64">
      <c r="A64" s="9" t="n">
        <v>36</v>
      </c>
      <c r="B64" s="9" t="n">
        <v>14</v>
      </c>
      <c r="C64" s="9" t="n">
        <v>22</v>
      </c>
      <c r="D64" s="9" t="n">
        <v>22</v>
      </c>
      <c r="E64" s="12" t="n">
        <v>0.9001000000000263</v>
      </c>
      <c r="F64" s="12" t="n">
        <v>0.90013</v>
      </c>
      <c r="G64" s="12" t="n">
        <v>0.9001022264566102</v>
      </c>
      <c r="H64" s="11" t="n">
        <v>1.4729</v>
      </c>
      <c r="I64" s="11" t="n">
        <v>3417047109.7201</v>
      </c>
      <c r="J64" s="9" t="inlineStr">
        <is>
          <t>OK</t>
        </is>
      </c>
    </row>
    <row r="65">
      <c r="A65" s="9" t="n">
        <v>36</v>
      </c>
      <c r="B65" s="9" t="n">
        <v>15</v>
      </c>
      <c r="C65" s="9" t="n">
        <v>21</v>
      </c>
      <c r="D65" s="9" t="n">
        <v>21</v>
      </c>
      <c r="E65" s="12" t="n">
        <v>0.9001</v>
      </c>
      <c r="F65" s="12" t="n">
        <v>0.9001416666666666</v>
      </c>
      <c r="G65" s="12" t="n">
        <v>0.9001031432118078</v>
      </c>
      <c r="H65" s="11" t="n">
        <v>1.5431</v>
      </c>
      <c r="I65" s="11" t="n">
        <v>5011669094.2561</v>
      </c>
      <c r="J65" s="9" t="inlineStr">
        <is>
          <t>OK</t>
        </is>
      </c>
    </row>
    <row r="66">
      <c r="A66" s="9" t="n">
        <v>36</v>
      </c>
      <c r="B66" s="9" t="n">
        <v>16</v>
      </c>
      <c r="C66" s="9" t="n">
        <v>20</v>
      </c>
      <c r="D66" s="9" t="n">
        <v>20</v>
      </c>
      <c r="E66" s="12" t="n">
        <v>0.9001000000000137</v>
      </c>
      <c r="F66" s="12" t="n">
        <v>0.9001174603174603</v>
      </c>
      <c r="G66" s="12" t="n">
        <v>0.9001021590596876</v>
      </c>
      <c r="H66" s="11" t="n">
        <v>1.6202</v>
      </c>
      <c r="I66" s="11" t="n">
        <v>6577815686.2111</v>
      </c>
      <c r="J66" s="9" t="inlineStr">
        <is>
          <t>OK</t>
        </is>
      </c>
    </row>
    <row r="67">
      <c r="A67" s="9" t="n">
        <v>36</v>
      </c>
      <c r="B67" s="9" t="n">
        <v>17</v>
      </c>
      <c r="C67" s="9" t="n">
        <v>19</v>
      </c>
      <c r="D67" s="9" t="n">
        <v>19</v>
      </c>
      <c r="E67" s="12" t="n">
        <v>0.9001000000000117</v>
      </c>
      <c r="F67" s="12" t="n">
        <v>0.9001250000000001</v>
      </c>
      <c r="G67" s="12" t="n">
        <v>0.9001027846694521</v>
      </c>
      <c r="H67" s="11" t="n">
        <v>1.7055</v>
      </c>
      <c r="I67" s="11" t="n">
        <v>7738606689.6601</v>
      </c>
      <c r="J67" s="9" t="inlineStr">
        <is>
          <t>OK</t>
        </is>
      </c>
    </row>
    <row r="68">
      <c r="A68" s="9" t="n">
        <v>36</v>
      </c>
      <c r="B68" s="9" t="n">
        <v>18</v>
      </c>
      <c r="C68" s="9" t="n">
        <v>18</v>
      </c>
      <c r="D68" s="9" t="n">
        <v>18</v>
      </c>
      <c r="E68" s="12" t="n">
        <v>0.9001</v>
      </c>
      <c r="F68" s="12" t="n">
        <v>0.9001038961038962</v>
      </c>
      <c r="G68" s="12" t="n">
        <v>0.9001004892521975</v>
      </c>
      <c r="H68" s="11" t="n">
        <v>1.8002</v>
      </c>
      <c r="I68" s="11" t="n">
        <v>8168529283.5301</v>
      </c>
      <c r="J68" s="9" t="inlineStr">
        <is>
          <t>OK</t>
        </is>
      </c>
    </row>
    <row r="69">
      <c r="A69" s="9" t="n">
        <v>36</v>
      </c>
      <c r="B69" s="9" t="n">
        <v>19</v>
      </c>
      <c r="C69" s="9" t="n">
        <v>17</v>
      </c>
      <c r="D69" s="9" t="n">
        <v>17</v>
      </c>
      <c r="E69" s="12" t="n">
        <v>0.9001000000000117</v>
      </c>
      <c r="F69" s="12" t="n">
        <v>0.900104761904762</v>
      </c>
      <c r="G69" s="12" t="n">
        <v>0.9001007998629953</v>
      </c>
      <c r="H69" s="11" t="n">
        <v>1.9061</v>
      </c>
      <c r="I69" s="11" t="n">
        <v>7738606689.6601</v>
      </c>
      <c r="J69" s="9" t="inlineStr">
        <is>
          <t>OK</t>
        </is>
      </c>
    </row>
    <row r="70">
      <c r="A70" s="9" t="n">
        <v>36</v>
      </c>
      <c r="B70" s="9" t="n">
        <v>20</v>
      </c>
      <c r="C70" s="9" t="n">
        <v>16</v>
      </c>
      <c r="D70" s="9" t="n">
        <v>16</v>
      </c>
      <c r="E70" s="12" t="n">
        <v>0.9001000000000137</v>
      </c>
      <c r="F70" s="12" t="n">
        <v>0.9001333333333333</v>
      </c>
      <c r="G70" s="12" t="n">
        <v>0.9001031947768181</v>
      </c>
      <c r="H70" s="11" t="n">
        <v>2.0253</v>
      </c>
      <c r="I70" s="11" t="n">
        <v>6577815686.2111</v>
      </c>
      <c r="J70" s="9" t="inlineStr">
        <is>
          <t>OK</t>
        </is>
      </c>
    </row>
    <row r="71">
      <c r="A71" s="9" t="n">
        <v>36</v>
      </c>
      <c r="B71" s="9" t="n">
        <v>21</v>
      </c>
      <c r="C71" s="9" t="n">
        <v>15</v>
      </c>
      <c r="D71" s="9" t="n">
        <v>15</v>
      </c>
      <c r="E71" s="12" t="n">
        <v>0.9001</v>
      </c>
      <c r="F71" s="12" t="n">
        <v>0.900125</v>
      </c>
      <c r="G71" s="12" t="n">
        <v>0.9001019659799206</v>
      </c>
      <c r="H71" s="11" t="n">
        <v>2.1603</v>
      </c>
      <c r="I71" s="11" t="n">
        <v>5011669094.2561</v>
      </c>
      <c r="J71" s="9" t="inlineStr">
        <is>
          <t>OK</t>
        </is>
      </c>
    </row>
    <row r="72">
      <c r="A72" s="9" t="n">
        <v>36</v>
      </c>
      <c r="B72" s="9" t="n">
        <v>22</v>
      </c>
      <c r="C72" s="9" t="n">
        <v>14</v>
      </c>
      <c r="D72" s="9" t="n">
        <v>14</v>
      </c>
      <c r="E72" s="12" t="n">
        <v>0.9001000000000263</v>
      </c>
      <c r="F72" s="12" t="n">
        <v>0.9001222222222222</v>
      </c>
      <c r="G72" s="12" t="n">
        <v>0.9001024432597863</v>
      </c>
      <c r="H72" s="11" t="n">
        <v>2.3146</v>
      </c>
      <c r="I72" s="11" t="n">
        <v>3417047109.7201</v>
      </c>
      <c r="J72" s="9" t="inlineStr">
        <is>
          <t>OK</t>
        </is>
      </c>
    </row>
    <row r="73">
      <c r="A73" s="9" t="n">
        <v>36</v>
      </c>
      <c r="B73" s="9" t="n">
        <v>23</v>
      </c>
      <c r="C73" s="9" t="n">
        <v>13</v>
      </c>
      <c r="D73" s="9" t="n">
        <v>13</v>
      </c>
      <c r="E73" s="12" t="n">
        <v>0.9001000000000432</v>
      </c>
      <c r="F73" s="12" t="n">
        <v>0.9001076190476192</v>
      </c>
      <c r="G73" s="12" t="n">
        <v>0.9001012584604114</v>
      </c>
      <c r="H73" s="11" t="n">
        <v>2.4926</v>
      </c>
      <c r="I73" s="11" t="n">
        <v>2079941718.9601</v>
      </c>
      <c r="J73" s="9" t="inlineStr">
        <is>
          <t>OK</t>
        </is>
      </c>
    </row>
    <row r="74">
      <c r="A74" s="9" t="n">
        <v>36</v>
      </c>
      <c r="B74" s="9" t="n">
        <v>24</v>
      </c>
      <c r="C74" s="9" t="n">
        <v>12</v>
      </c>
      <c r="D74" s="9" t="n">
        <v>12</v>
      </c>
      <c r="E74" s="12" t="n">
        <v>0.9001</v>
      </c>
      <c r="F74" s="12" t="n">
        <v>0.9001038095238096</v>
      </c>
      <c r="G74" s="12" t="n">
        <v>0.900100573295985</v>
      </c>
      <c r="H74" s="11" t="n">
        <v>2.7003</v>
      </c>
      <c r="I74" s="11" t="n">
        <v>1126635097.7701</v>
      </c>
      <c r="J74" s="9" t="inlineStr">
        <is>
          <t>OK</t>
        </is>
      </c>
    </row>
    <row r="75">
      <c r="A75" s="9" t="n">
        <v>36</v>
      </c>
      <c r="B75" s="9" t="n">
        <v>25</v>
      </c>
      <c r="C75" s="9" t="n">
        <v>11</v>
      </c>
      <c r="D75" s="9" t="n">
        <v>11</v>
      </c>
      <c r="E75" s="12" t="n">
        <v>0.9001000000001664</v>
      </c>
      <c r="F75" s="12" t="n">
        <v>0.9001055555555556</v>
      </c>
      <c r="G75" s="12" t="n">
        <v>0.9001010874746169</v>
      </c>
      <c r="H75" s="11" t="n">
        <v>2.9458</v>
      </c>
      <c r="I75" s="11" t="n">
        <v>540784846.9297</v>
      </c>
      <c r="J75" s="9" t="inlineStr">
        <is>
          <t>OK</t>
        </is>
      </c>
    </row>
    <row r="76">
      <c r="A76" s="9" t="n">
        <v>36</v>
      </c>
      <c r="B76" s="9" t="n">
        <v>26</v>
      </c>
      <c r="C76" s="9" t="n">
        <v>10</v>
      </c>
      <c r="D76" s="9" t="n">
        <v>10</v>
      </c>
      <c r="E76" s="12" t="n">
        <v>0.9001</v>
      </c>
      <c r="F76" s="12" t="n">
        <v>0.9001111111111111</v>
      </c>
      <c r="G76" s="12" t="n">
        <v>0.9001012206767686</v>
      </c>
      <c r="H76" s="11" t="n">
        <v>3.2404</v>
      </c>
      <c r="I76" s="11" t="n">
        <v>228793589.0857</v>
      </c>
      <c r="J76" s="9" t="inlineStr">
        <is>
          <t>OK</t>
        </is>
      </c>
    </row>
    <row r="77">
      <c r="A77" s="9" t="n">
        <v>36</v>
      </c>
      <c r="B77" s="9" t="n">
        <v>27</v>
      </c>
      <c r="C77" s="9" t="n">
        <v>9</v>
      </c>
      <c r="D77" s="9" t="n">
        <v>9</v>
      </c>
      <c r="E77" s="12" t="n">
        <v>0.9001</v>
      </c>
      <c r="F77" s="12" t="n">
        <v>0.9001028571428571</v>
      </c>
      <c r="G77" s="12" t="n">
        <v>0.9001003335879806</v>
      </c>
      <c r="H77" s="11" t="n">
        <v>3.6004</v>
      </c>
      <c r="I77" s="11" t="n">
        <v>84738366.3281</v>
      </c>
      <c r="J77" s="9" t="inlineStr">
        <is>
          <t>OK</t>
        </is>
      </c>
    </row>
    <row r="78">
      <c r="A78" s="9" t="n">
        <v>36</v>
      </c>
      <c r="B78" s="9" t="n">
        <v>28</v>
      </c>
      <c r="C78" s="9" t="n">
        <v>8</v>
      </c>
      <c r="D78" s="9" t="n">
        <v>8</v>
      </c>
      <c r="E78" s="12" t="n">
        <v>0.9001000000033047</v>
      </c>
      <c r="F78" s="12" t="n">
        <v>0.9001111111111112</v>
      </c>
      <c r="G78" s="12" t="n">
        <v>0.9001017251623743</v>
      </c>
      <c r="H78" s="11" t="n">
        <v>4.0505</v>
      </c>
      <c r="I78" s="11" t="n">
        <v>27237332.0341</v>
      </c>
      <c r="J78" s="9" t="inlineStr">
        <is>
          <t>OK</t>
        </is>
      </c>
    </row>
    <row r="79">
      <c r="A79" s="9" t="n">
        <v>36</v>
      </c>
      <c r="B79" s="9" t="n">
        <v>29</v>
      </c>
      <c r="C79" s="9" t="n">
        <v>7</v>
      </c>
      <c r="D79" s="9" t="n">
        <v>7</v>
      </c>
      <c r="E79" s="12" t="n">
        <v>0.9001</v>
      </c>
      <c r="F79" s="12" t="n">
        <v>0.9001027777777778</v>
      </c>
      <c r="G79" s="12" t="n">
        <v>0.9001004761904762</v>
      </c>
      <c r="H79" s="11" t="n">
        <v>4.6291</v>
      </c>
      <c r="I79" s="11" t="n">
        <v>7513746.7681</v>
      </c>
      <c r="J79" s="9" t="inlineStr">
        <is>
          <t>OK</t>
        </is>
      </c>
    </row>
    <row r="80">
      <c r="A80" s="9" t="n">
        <v>36</v>
      </c>
      <c r="B80" s="9" t="n">
        <v>30</v>
      </c>
      <c r="C80" s="9" t="n">
        <v>6</v>
      </c>
      <c r="D80" s="9" t="n">
        <v>6</v>
      </c>
      <c r="E80" s="12" t="n">
        <v>0.9001</v>
      </c>
      <c r="F80" s="12" t="n">
        <v>0.9001002801120448</v>
      </c>
      <c r="G80" s="12" t="n">
        <v>0.9001000512032771</v>
      </c>
      <c r="H80" s="11" t="n">
        <v>5.4006</v>
      </c>
      <c r="I80" s="11" t="n">
        <v>1753207.5793</v>
      </c>
      <c r="J80" s="9" t="inlineStr">
        <is>
          <t>OK</t>
        </is>
      </c>
    </row>
    <row r="81">
      <c r="A81" s="9" t="n">
        <v>36</v>
      </c>
      <c r="B81" s="9" t="n">
        <v>31</v>
      </c>
      <c r="C81" s="9" t="n">
        <v>5</v>
      </c>
      <c r="D81" s="9" t="n">
        <v>5</v>
      </c>
      <c r="E81" s="12" t="n">
        <v>0.9001</v>
      </c>
      <c r="F81" s="12" t="n">
        <v>0.9001111111111111</v>
      </c>
      <c r="G81" s="12" t="n">
        <v>0.900102251984127</v>
      </c>
      <c r="H81" s="11" t="n">
        <v>6.4808</v>
      </c>
      <c r="I81" s="11" t="n">
        <v>339330.4993</v>
      </c>
      <c r="J81" s="9" t="inlineStr">
        <is>
          <t>OK</t>
        </is>
      </c>
    </row>
    <row r="82">
      <c r="A82" s="9" t="n">
        <v>36</v>
      </c>
      <c r="B82" s="9" t="n">
        <v>32</v>
      </c>
      <c r="C82" s="9" t="n">
        <v>4</v>
      </c>
      <c r="D82" s="9" t="n">
        <v>4</v>
      </c>
      <c r="E82" s="12" t="n">
        <v>0.9000999999999999</v>
      </c>
      <c r="F82" s="12" t="n">
        <v>0.9001009523809523</v>
      </c>
      <c r="G82" s="12" t="n">
        <v>0.9001002525252525</v>
      </c>
      <c r="H82" s="11" t="n">
        <v>8.100899999999999</v>
      </c>
      <c r="I82" s="11" t="n">
        <v>53020.3906</v>
      </c>
      <c r="J82" s="9" t="inlineStr">
        <is>
          <t>OK</t>
        </is>
      </c>
    </row>
    <row r="83">
      <c r="A83" s="9" t="n">
        <v>36</v>
      </c>
      <c r="B83" s="9" t="n">
        <v>33</v>
      </c>
      <c r="C83" s="9" t="n">
        <v>3</v>
      </c>
      <c r="D83" s="9" t="n">
        <v>3</v>
      </c>
      <c r="E83" s="12" t="n">
        <v>0.9001</v>
      </c>
      <c r="F83" s="12" t="n">
        <v>0.9001004761904762</v>
      </c>
      <c r="G83" s="12" t="n">
        <v>0.9001001633986928</v>
      </c>
      <c r="H83" s="11" t="n">
        <v>10.8012</v>
      </c>
      <c r="I83" s="11" t="n">
        <v>6426.7141</v>
      </c>
      <c r="J83" s="9" t="inlineStr">
        <is>
          <t>OK</t>
        </is>
      </c>
    </row>
    <row r="84">
      <c r="A84" s="9" t="n">
        <v>36</v>
      </c>
      <c r="B84" s="9" t="n">
        <v>34</v>
      </c>
      <c r="C84" s="9" t="n">
        <v>2</v>
      </c>
      <c r="D84" s="9" t="n">
        <v>2</v>
      </c>
      <c r="E84" s="12" t="n">
        <v>0.9000999999999999</v>
      </c>
      <c r="F84" s="12" t="n">
        <v>0.9001001587301587</v>
      </c>
      <c r="G84" s="12" t="n">
        <v>0.9001000793650793</v>
      </c>
      <c r="H84" s="11" t="n">
        <v>16.2018</v>
      </c>
      <c r="I84" s="11" t="n">
        <v>567.0631</v>
      </c>
      <c r="J84" s="9" t="inlineStr">
        <is>
          <t>OK</t>
        </is>
      </c>
    </row>
    <row r="85">
      <c r="A85" s="9" t="n">
        <v>36</v>
      </c>
      <c r="B85" s="9" t="n">
        <v>35</v>
      </c>
      <c r="C85" s="9" t="n">
        <v>1</v>
      </c>
      <c r="D85" s="9" t="n">
        <v>1</v>
      </c>
      <c r="E85" s="12" t="n">
        <v>0.9000999999999999</v>
      </c>
      <c r="F85" s="12" t="n">
        <v>0.9000999999999999</v>
      </c>
      <c r="G85" s="12" t="n">
        <v>0.9000999999999999</v>
      </c>
      <c r="H85" s="11" t="n">
        <v>32.4036</v>
      </c>
      <c r="I85" s="11" t="n">
        <v>32.4036</v>
      </c>
      <c r="J85" s="9" t="inlineStr">
        <is>
          <t>OK</t>
        </is>
      </c>
    </row>
    <row r="86">
      <c r="A86" s="9" t="n">
        <v>49</v>
      </c>
      <c r="B86" s="9" t="n">
        <v>1</v>
      </c>
      <c r="C86" s="9" t="n">
        <v>48</v>
      </c>
      <c r="D86" s="9" t="n">
        <v>48</v>
      </c>
      <c r="E86" s="12" t="n">
        <v>0.9001</v>
      </c>
      <c r="F86" s="12" t="n">
        <v>0.9001938775510203</v>
      </c>
      <c r="G86" s="12" t="n">
        <v>0.9001294217687075</v>
      </c>
      <c r="H86" s="11" t="n">
        <v>0.9189000000000001</v>
      </c>
      <c r="I86" s="11" t="n">
        <v>44.1049</v>
      </c>
      <c r="J86" s="9" t="inlineStr">
        <is>
          <t>OK</t>
        </is>
      </c>
    </row>
    <row r="87">
      <c r="A87" s="9" t="n">
        <v>49</v>
      </c>
      <c r="B87" s="9" t="n">
        <v>2</v>
      </c>
      <c r="C87" s="9" t="n">
        <v>47</v>
      </c>
      <c r="D87" s="9" t="n">
        <v>47</v>
      </c>
      <c r="E87" s="12" t="n">
        <v>0.9000999999999999</v>
      </c>
      <c r="F87" s="12" t="n">
        <v>0.9001938775510203</v>
      </c>
      <c r="G87" s="12" t="n">
        <v>0.900119861774497</v>
      </c>
      <c r="H87" s="11" t="n">
        <v>0.9385</v>
      </c>
      <c r="I87" s="11" t="n">
        <v>1058.5176</v>
      </c>
      <c r="J87" s="9" t="inlineStr">
        <is>
          <t>OK</t>
        </is>
      </c>
    </row>
    <row r="88">
      <c r="A88" s="9" t="n">
        <v>49</v>
      </c>
      <c r="B88" s="9" t="n">
        <v>3</v>
      </c>
      <c r="C88" s="9" t="n">
        <v>46</v>
      </c>
      <c r="D88" s="9" t="n">
        <v>46</v>
      </c>
      <c r="E88" s="12" t="n">
        <v>0.9001000054277031</v>
      </c>
      <c r="F88" s="12" t="n">
        <v>0.9001918367346938</v>
      </c>
      <c r="G88" s="12" t="n">
        <v>0.9001114523353282</v>
      </c>
      <c r="H88" s="11" t="n">
        <v>0.9589</v>
      </c>
      <c r="I88" s="11" t="n">
        <v>16583.4425</v>
      </c>
      <c r="J88" s="9" t="inlineStr">
        <is>
          <t>OK</t>
        </is>
      </c>
    </row>
    <row r="89">
      <c r="A89" s="9" t="n">
        <v>49</v>
      </c>
      <c r="B89" s="9" t="n">
        <v>4</v>
      </c>
      <c r="C89" s="9" t="n">
        <v>45</v>
      </c>
      <c r="D89" s="9" t="n">
        <v>45</v>
      </c>
      <c r="E89" s="12" t="n">
        <v>0.9001000004719741</v>
      </c>
      <c r="F89" s="12" t="n">
        <v>0.9001836734693878</v>
      </c>
      <c r="G89" s="12" t="n">
        <v>0.9001108346601052</v>
      </c>
      <c r="H89" s="11" t="n">
        <v>0.9802</v>
      </c>
      <c r="I89" s="11" t="n">
        <v>190709.5877</v>
      </c>
      <c r="J89" s="9" t="inlineStr">
        <is>
          <t>OK</t>
        </is>
      </c>
    </row>
    <row r="90">
      <c r="A90" s="9" t="n">
        <v>49</v>
      </c>
      <c r="B90" s="9" t="n">
        <v>5</v>
      </c>
      <c r="C90" s="9" t="n">
        <v>44</v>
      </c>
      <c r="D90" s="9" t="n">
        <v>44</v>
      </c>
      <c r="E90" s="12" t="n">
        <v>0.9001000000524416</v>
      </c>
      <c r="F90" s="12" t="n">
        <v>0.9001479591836734</v>
      </c>
      <c r="G90" s="12" t="n">
        <v>0.9001058964043387</v>
      </c>
      <c r="H90" s="11" t="n">
        <v>1.0024</v>
      </c>
      <c r="I90" s="11" t="n">
        <v>1716386.2885</v>
      </c>
      <c r="J90" s="9" t="inlineStr">
        <is>
          <t>OK</t>
        </is>
      </c>
    </row>
    <row r="91">
      <c r="A91" s="9" t="n">
        <v>49</v>
      </c>
      <c r="B91" s="9" t="n">
        <v>6</v>
      </c>
      <c r="C91" s="9" t="n">
        <v>43</v>
      </c>
      <c r="D91" s="9" t="n">
        <v>43</v>
      </c>
      <c r="E91" s="12" t="n">
        <v>0.9001000000071512</v>
      </c>
      <c r="F91" s="12" t="n">
        <v>0.9001589285714284</v>
      </c>
      <c r="G91" s="12" t="n">
        <v>0.9001074356697206</v>
      </c>
      <c r="H91" s="11" t="n">
        <v>1.0257</v>
      </c>
      <c r="I91" s="11" t="n">
        <v>12586832.7817</v>
      </c>
      <c r="J91" s="9" t="inlineStr">
        <is>
          <t>OK</t>
        </is>
      </c>
    </row>
    <row r="92">
      <c r="A92" s="9" t="n">
        <v>49</v>
      </c>
      <c r="B92" s="9" t="n">
        <v>7</v>
      </c>
      <c r="C92" s="9" t="n">
        <v>42</v>
      </c>
      <c r="D92" s="9" t="n">
        <v>42</v>
      </c>
      <c r="E92" s="12" t="n">
        <v>0.9001000000011642</v>
      </c>
      <c r="F92" s="12" t="n">
        <v>0.9001714285714285</v>
      </c>
      <c r="G92" s="12" t="n">
        <v>0.9001077344757993</v>
      </c>
      <c r="H92" s="11" t="n">
        <v>1.0502</v>
      </c>
      <c r="I92" s="11" t="n">
        <v>77319115.6585</v>
      </c>
      <c r="J92" s="9" t="inlineStr">
        <is>
          <t>OK</t>
        </is>
      </c>
    </row>
    <row r="93">
      <c r="A93" s="9" t="n">
        <v>49</v>
      </c>
      <c r="B93" s="9" t="n">
        <v>8</v>
      </c>
      <c r="C93" s="9" t="n">
        <v>41</v>
      </c>
      <c r="D93" s="9" t="n">
        <v>41</v>
      </c>
      <c r="E93" s="12" t="n">
        <v>0.9001000000002218</v>
      </c>
      <c r="F93" s="12" t="n">
        <v>0.9001591836734695</v>
      </c>
      <c r="G93" s="12" t="n">
        <v>0.9001046764888398</v>
      </c>
      <c r="H93" s="11" t="n">
        <v>1.0758</v>
      </c>
      <c r="I93" s="11" t="n">
        <v>405925357.2067</v>
      </c>
      <c r="J93" s="9" t="inlineStr">
        <is>
          <t>OK</t>
        </is>
      </c>
    </row>
    <row r="94">
      <c r="A94" s="9" t="n">
        <v>49</v>
      </c>
      <c r="B94" s="9" t="n">
        <v>9</v>
      </c>
      <c r="C94" s="9" t="n">
        <v>40</v>
      </c>
      <c r="D94" s="9" t="n">
        <v>40</v>
      </c>
      <c r="E94" s="12" t="n">
        <v>0.9001000000000487</v>
      </c>
      <c r="F94" s="12" t="n">
        <v>0.9001632653061223</v>
      </c>
      <c r="G94" s="12" t="n">
        <v>0.9001048587940826</v>
      </c>
      <c r="H94" s="11" t="n">
        <v>1.1027</v>
      </c>
      <c r="I94" s="11" t="n">
        <v>1849215516.1635</v>
      </c>
      <c r="J94" s="9" t="inlineStr">
        <is>
          <t>OK</t>
        </is>
      </c>
    </row>
    <row r="95">
      <c r="A95" s="9" t="n">
        <v>49</v>
      </c>
      <c r="B95" s="9" t="n">
        <v>10</v>
      </c>
      <c r="C95" s="9" t="n">
        <v>39</v>
      </c>
      <c r="D95" s="9" t="n">
        <v>39</v>
      </c>
      <c r="E95" s="12" t="n">
        <v>0.9001000000000121</v>
      </c>
      <c r="F95" s="12" t="n">
        <v>0.900127403292492</v>
      </c>
      <c r="G95" s="12" t="n">
        <v>0.9001021532112675</v>
      </c>
      <c r="H95" s="11" t="n">
        <v>1.1309</v>
      </c>
      <c r="I95" s="11" t="n">
        <v>7396862064.6537</v>
      </c>
      <c r="J95" s="9" t="inlineStr">
        <is>
          <t>OK</t>
        </is>
      </c>
    </row>
    <row r="96">
      <c r="A96" s="9" t="n">
        <v>49</v>
      </c>
      <c r="B96" s="9" t="n">
        <v>11</v>
      </c>
      <c r="C96" s="9" t="n">
        <v>38</v>
      </c>
      <c r="D96" s="9" t="n">
        <v>38</v>
      </c>
      <c r="E96" s="12" t="n">
        <v>0.9001000000000035</v>
      </c>
      <c r="F96" s="12" t="n">
        <v>0.900150850340136</v>
      </c>
      <c r="G96" s="12" t="n">
        <v>0.9001040635153263</v>
      </c>
      <c r="H96" s="11" t="n">
        <v>1.1607</v>
      </c>
      <c r="I96" s="11" t="n">
        <v>26225238229.2265</v>
      </c>
      <c r="J96" s="9" t="inlineStr">
        <is>
          <t>OK</t>
        </is>
      </c>
    </row>
    <row r="97">
      <c r="A97" s="9" t="n">
        <v>49</v>
      </c>
      <c r="B97" s="9" t="n">
        <v>12</v>
      </c>
      <c r="C97" s="9" t="n">
        <v>37</v>
      </c>
      <c r="D97" s="9" t="n">
        <v>37</v>
      </c>
      <c r="E97" s="12" t="n">
        <v>0.900100000000001</v>
      </c>
      <c r="F97" s="12" t="n">
        <v>0.9001571428571428</v>
      </c>
      <c r="G97" s="12" t="n">
        <v>0.9001032471008289</v>
      </c>
      <c r="H97" s="11" t="n">
        <v>1.1921</v>
      </c>
      <c r="I97" s="11" t="n">
        <v>83046587725.8837</v>
      </c>
      <c r="J97" s="9" t="inlineStr">
        <is>
          <t>OK</t>
        </is>
      </c>
    </row>
    <row r="98">
      <c r="A98" s="9" t="n">
        <v>49</v>
      </c>
      <c r="B98" s="9" t="n">
        <v>13</v>
      </c>
      <c r="C98" s="9" t="n">
        <v>36</v>
      </c>
      <c r="D98" s="9" t="n">
        <v>36</v>
      </c>
      <c r="E98" s="12" t="n">
        <v>0.9001000000000003</v>
      </c>
      <c r="F98" s="12" t="n">
        <v>0.9001469387755102</v>
      </c>
      <c r="G98" s="12" t="n">
        <v>0.900103706677344</v>
      </c>
      <c r="H98" s="11" t="n">
        <v>1.2252</v>
      </c>
      <c r="I98" s="11" t="n">
        <v>236363365065.9765</v>
      </c>
      <c r="J98" s="9" t="inlineStr">
        <is>
          <t>OK</t>
        </is>
      </c>
    </row>
    <row r="99">
      <c r="A99" s="9" t="n">
        <v>49</v>
      </c>
      <c r="B99" s="9" t="n">
        <v>14</v>
      </c>
      <c r="C99" s="9" t="n">
        <v>35</v>
      </c>
      <c r="D99" s="9" t="n">
        <v>35</v>
      </c>
      <c r="E99" s="12" t="n">
        <v>0.9001000000000001</v>
      </c>
      <c r="F99" s="12" t="n">
        <v>0.9001428571428572</v>
      </c>
      <c r="G99" s="12" t="n">
        <v>0.9001035919853554</v>
      </c>
      <c r="H99" s="11" t="n">
        <v>1.2602</v>
      </c>
      <c r="I99" s="11" t="n">
        <v>607791510169.6537</v>
      </c>
      <c r="J99" s="9" t="inlineStr">
        <is>
          <t>OK</t>
        </is>
      </c>
    </row>
    <row r="100">
      <c r="A100" s="9" t="n">
        <v>49</v>
      </c>
      <c r="B100" s="9" t="n">
        <v>15</v>
      </c>
      <c r="C100" s="9" t="n">
        <v>34</v>
      </c>
      <c r="D100" s="9" t="n">
        <v>34</v>
      </c>
      <c r="E100" s="12" t="n">
        <v>0.9001</v>
      </c>
      <c r="F100" s="12" t="n">
        <v>0.9001673469387754</v>
      </c>
      <c r="G100" s="12" t="n">
        <v>0.9001038394847981</v>
      </c>
      <c r="H100" s="11" t="n">
        <v>1.2973</v>
      </c>
      <c r="I100" s="11" t="n">
        <v>1418180190395.858</v>
      </c>
      <c r="J100" s="9" t="inlineStr">
        <is>
          <t>OK</t>
        </is>
      </c>
    </row>
    <row r="101">
      <c r="A101" s="9" t="n">
        <v>49</v>
      </c>
      <c r="B101" s="9" t="n">
        <v>16</v>
      </c>
      <c r="C101" s="9" t="n">
        <v>33</v>
      </c>
      <c r="D101" s="9" t="n">
        <v>33</v>
      </c>
      <c r="E101" s="12" t="n">
        <v>0.9001</v>
      </c>
      <c r="F101" s="12" t="n">
        <v>0.9001591836734694</v>
      </c>
      <c r="G101" s="12" t="n">
        <v>0.9001029394651849</v>
      </c>
      <c r="H101" s="11" t="n">
        <v>1.3366</v>
      </c>
      <c r="I101" s="11" t="n">
        <v>3013632904591.199</v>
      </c>
      <c r="J101" s="9" t="inlineStr">
        <is>
          <t>OK</t>
        </is>
      </c>
    </row>
    <row r="102">
      <c r="A102" s="9" t="n">
        <v>49</v>
      </c>
      <c r="B102" s="9" t="n">
        <v>17</v>
      </c>
      <c r="C102" s="9" t="n">
        <v>32</v>
      </c>
      <c r="D102" s="9" t="n">
        <v>32</v>
      </c>
      <c r="E102" s="12" t="n">
        <v>0.9001</v>
      </c>
      <c r="F102" s="12" t="n">
        <v>0.9001387755102039</v>
      </c>
      <c r="G102" s="12" t="n">
        <v>0.9001026941258633</v>
      </c>
      <c r="H102" s="11" t="n">
        <v>1.3783</v>
      </c>
      <c r="I102" s="11" t="n">
        <v>5849993285382.916</v>
      </c>
      <c r="J102" s="9" t="inlineStr">
        <is>
          <t>OK</t>
        </is>
      </c>
    </row>
    <row r="103">
      <c r="A103" s="9" t="n">
        <v>49</v>
      </c>
      <c r="B103" s="9" t="n">
        <v>18</v>
      </c>
      <c r="C103" s="9" t="n">
        <v>31</v>
      </c>
      <c r="D103" s="9" t="n">
        <v>31</v>
      </c>
      <c r="E103" s="12" t="n">
        <v>0.9000999999999999</v>
      </c>
      <c r="F103" s="12" t="n">
        <v>0.9001387755102042</v>
      </c>
      <c r="G103" s="12" t="n">
        <v>0.900102883770537</v>
      </c>
      <c r="H103" s="11" t="n">
        <v>1.4228</v>
      </c>
      <c r="I103" s="11" t="n">
        <v>10399988062902.96</v>
      </c>
      <c r="J103" s="9" t="inlineStr">
        <is>
          <t>OK</t>
        </is>
      </c>
    </row>
    <row r="104">
      <c r="A104" s="9" t="n">
        <v>49</v>
      </c>
      <c r="B104" s="9" t="n">
        <v>19</v>
      </c>
      <c r="C104" s="9" t="n">
        <v>30</v>
      </c>
      <c r="D104" s="9" t="n">
        <v>30</v>
      </c>
      <c r="E104" s="12" t="n">
        <v>0.9001</v>
      </c>
      <c r="F104" s="12" t="n">
        <v>0.9001224489795918</v>
      </c>
      <c r="G104" s="12" t="n">
        <v>0.9001017621532457</v>
      </c>
      <c r="H104" s="11" t="n">
        <v>1.4702</v>
      </c>
      <c r="I104" s="11" t="n">
        <v>16968401576315.36</v>
      </c>
      <c r="J104" s="9" t="inlineStr">
        <is>
          <t>OK</t>
        </is>
      </c>
    </row>
    <row r="105">
      <c r="A105" s="9" t="n">
        <v>49</v>
      </c>
      <c r="B105" s="9" t="n">
        <v>20</v>
      </c>
      <c r="C105" s="9" t="n">
        <v>29</v>
      </c>
      <c r="D105" s="9" t="n">
        <v>29</v>
      </c>
      <c r="E105" s="12" t="n">
        <v>0.9001</v>
      </c>
      <c r="F105" s="12" t="n">
        <v>0.9001244897959183</v>
      </c>
      <c r="G105" s="12" t="n">
        <v>0.9001018301153152</v>
      </c>
      <c r="H105" s="11" t="n">
        <v>1.5209</v>
      </c>
      <c r="I105" s="11" t="n">
        <v>25452602364473.04</v>
      </c>
      <c r="J105" s="9" t="inlineStr">
        <is>
          <t>OK</t>
        </is>
      </c>
    </row>
    <row r="106">
      <c r="A106" s="9" t="n">
        <v>49</v>
      </c>
      <c r="B106" s="9" t="n">
        <v>21</v>
      </c>
      <c r="C106" s="9" t="n">
        <v>28</v>
      </c>
      <c r="D106" s="9" t="n">
        <v>28</v>
      </c>
      <c r="E106" s="12" t="n">
        <v>0.9000999999999999</v>
      </c>
      <c r="F106" s="12" t="n">
        <v>0.9001285714285714</v>
      </c>
      <c r="G106" s="12" t="n">
        <v>0.9001024988951741</v>
      </c>
      <c r="H106" s="11" t="n">
        <v>1.5752</v>
      </c>
      <c r="I106" s="11" t="n">
        <v>35148831836653.24</v>
      </c>
      <c r="J106" s="9" t="inlineStr">
        <is>
          <t>OK</t>
        </is>
      </c>
    </row>
    <row r="107">
      <c r="A107" s="9" t="n">
        <v>49</v>
      </c>
      <c r="B107" s="9" t="n">
        <v>22</v>
      </c>
      <c r="C107" s="9" t="n">
        <v>27</v>
      </c>
      <c r="D107" s="9" t="n">
        <v>27</v>
      </c>
      <c r="E107" s="12" t="n">
        <v>0.9001</v>
      </c>
      <c r="F107" s="12" t="n">
        <v>0.9001469387755101</v>
      </c>
      <c r="G107" s="12" t="n">
        <v>0.90010327542517</v>
      </c>
      <c r="H107" s="11" t="n">
        <v>1.6336</v>
      </c>
      <c r="I107" s="11" t="n">
        <v>44734876883013.22</v>
      </c>
      <c r="J107" s="9" t="inlineStr">
        <is>
          <t>OK</t>
        </is>
      </c>
    </row>
    <row r="108">
      <c r="A108" s="9" t="n">
        <v>49</v>
      </c>
      <c r="B108" s="9" t="n">
        <v>23</v>
      </c>
      <c r="C108" s="9" t="n">
        <v>26</v>
      </c>
      <c r="D108" s="9" t="n">
        <v>26</v>
      </c>
      <c r="E108" s="12" t="n">
        <v>0.9001</v>
      </c>
      <c r="F108" s="12" t="n">
        <v>0.9001306122448979</v>
      </c>
      <c r="G108" s="12" t="n">
        <v>0.9001018396956643</v>
      </c>
      <c r="H108" s="11" t="n">
        <v>1.6964</v>
      </c>
      <c r="I108" s="11" t="n">
        <v>52514855471363.34</v>
      </c>
      <c r="J108" s="9" t="inlineStr">
        <is>
          <t>OK</t>
        </is>
      </c>
    </row>
    <row r="109">
      <c r="A109" s="9" t="n">
        <v>49</v>
      </c>
      <c r="B109" s="9" t="n">
        <v>24</v>
      </c>
      <c r="C109" s="9" t="n">
        <v>25</v>
      </c>
      <c r="D109" s="9" t="n">
        <v>25</v>
      </c>
      <c r="E109" s="12" t="n">
        <v>0.9001</v>
      </c>
      <c r="F109" s="12" t="n">
        <v>0.9001025835866262</v>
      </c>
      <c r="G109" s="12" t="n">
        <v>0.9001004318558075</v>
      </c>
      <c r="H109" s="11" t="n">
        <v>1.7642</v>
      </c>
      <c r="I109" s="11" t="n">
        <v>56891093427310.29</v>
      </c>
      <c r="J109" s="9" t="inlineStr">
        <is>
          <t>OK</t>
        </is>
      </c>
    </row>
    <row r="110">
      <c r="A110" s="9" t="n">
        <v>49</v>
      </c>
      <c r="B110" s="9" t="n">
        <v>25</v>
      </c>
      <c r="C110" s="9" t="n">
        <v>24</v>
      </c>
      <c r="D110" s="9" t="n">
        <v>24</v>
      </c>
      <c r="E110" s="12" t="n">
        <v>0.9001</v>
      </c>
      <c r="F110" s="12" t="n">
        <v>0.9001469387755103</v>
      </c>
      <c r="G110" s="12" t="n">
        <v>0.9001034932508936</v>
      </c>
      <c r="H110" s="11" t="n">
        <v>1.8378</v>
      </c>
      <c r="I110" s="11" t="n">
        <v>56891093427310.29</v>
      </c>
      <c r="J110" s="9" t="inlineStr">
        <is>
          <t>OK</t>
        </is>
      </c>
    </row>
    <row r="111">
      <c r="A111" s="9" t="n">
        <v>49</v>
      </c>
      <c r="B111" s="9" t="n">
        <v>26</v>
      </c>
      <c r="C111" s="9" t="n">
        <v>23</v>
      </c>
      <c r="D111" s="9" t="n">
        <v>23</v>
      </c>
      <c r="E111" s="12" t="n">
        <v>0.9001</v>
      </c>
      <c r="F111" s="12" t="n">
        <v>0.9001448979591836</v>
      </c>
      <c r="G111" s="12" t="n">
        <v>0.900102539051111</v>
      </c>
      <c r="H111" s="11" t="n">
        <v>1.9177</v>
      </c>
      <c r="I111" s="11" t="n">
        <v>52514855471363.34</v>
      </c>
      <c r="J111" s="9" t="inlineStr">
        <is>
          <t>OK</t>
        </is>
      </c>
    </row>
    <row r="112">
      <c r="A112" s="9" t="n">
        <v>49</v>
      </c>
      <c r="B112" s="9" t="n">
        <v>27</v>
      </c>
      <c r="C112" s="9" t="n">
        <v>22</v>
      </c>
      <c r="D112" s="9" t="n">
        <v>22</v>
      </c>
      <c r="E112" s="12" t="n">
        <v>0.9000999999999999</v>
      </c>
      <c r="F112" s="12" t="n">
        <v>0.9001142857142858</v>
      </c>
      <c r="G112" s="12" t="n">
        <v>0.9001015712587144</v>
      </c>
      <c r="H112" s="11" t="n">
        <v>2.0048</v>
      </c>
      <c r="I112" s="11" t="n">
        <v>44734876883013.22</v>
      </c>
      <c r="J112" s="9" t="inlineStr">
        <is>
          <t>OK</t>
        </is>
      </c>
    </row>
    <row r="113">
      <c r="A113" s="9" t="n">
        <v>49</v>
      </c>
      <c r="B113" s="9" t="n">
        <v>28</v>
      </c>
      <c r="C113" s="9" t="n">
        <v>21</v>
      </c>
      <c r="D113" s="9" t="n">
        <v>21</v>
      </c>
      <c r="E113" s="12" t="n">
        <v>0.9001</v>
      </c>
      <c r="F113" s="12" t="n">
        <v>0.9001285714285713</v>
      </c>
      <c r="G113" s="12" t="n">
        <v>0.9001018997786508</v>
      </c>
      <c r="H113" s="11" t="n">
        <v>2.1003</v>
      </c>
      <c r="I113" s="11" t="n">
        <v>35148831836653.24</v>
      </c>
      <c r="J113" s="9" t="inlineStr">
        <is>
          <t>OK</t>
        </is>
      </c>
    </row>
    <row r="114">
      <c r="A114" s="9" t="n">
        <v>49</v>
      </c>
      <c r="B114" s="9" t="n">
        <v>29</v>
      </c>
      <c r="C114" s="9" t="n">
        <v>20</v>
      </c>
      <c r="D114" s="9" t="n">
        <v>20</v>
      </c>
      <c r="E114" s="12" t="n">
        <v>0.9001</v>
      </c>
      <c r="F114" s="12" t="n">
        <v>0.9001224489795917</v>
      </c>
      <c r="G114" s="12" t="n">
        <v>0.9001017279082389</v>
      </c>
      <c r="H114" s="11" t="n">
        <v>2.2053</v>
      </c>
      <c r="I114" s="11" t="n">
        <v>25452602364473.04</v>
      </c>
      <c r="J114" s="9" t="inlineStr">
        <is>
          <t>OK</t>
        </is>
      </c>
    </row>
    <row r="115">
      <c r="A115" s="9" t="n">
        <v>49</v>
      </c>
      <c r="B115" s="9" t="n">
        <v>30</v>
      </c>
      <c r="C115" s="9" t="n">
        <v>19</v>
      </c>
      <c r="D115" s="9" t="n">
        <v>19</v>
      </c>
      <c r="E115" s="12" t="n">
        <v>0.9001</v>
      </c>
      <c r="F115" s="12" t="n">
        <v>0.9001346938775511</v>
      </c>
      <c r="G115" s="12" t="n">
        <v>0.9001022300753682</v>
      </c>
      <c r="H115" s="11" t="n">
        <v>2.3214</v>
      </c>
      <c r="I115" s="11" t="n">
        <v>16968401576315.36</v>
      </c>
      <c r="J115" s="9" t="inlineStr">
        <is>
          <t>OK</t>
        </is>
      </c>
    </row>
    <row r="116">
      <c r="A116" s="9" t="n">
        <v>49</v>
      </c>
      <c r="B116" s="9" t="n">
        <v>31</v>
      </c>
      <c r="C116" s="9" t="n">
        <v>18</v>
      </c>
      <c r="D116" s="9" t="n">
        <v>18</v>
      </c>
      <c r="E116" s="12" t="n">
        <v>0.9000999999999999</v>
      </c>
      <c r="F116" s="12" t="n">
        <v>0.900110969387755</v>
      </c>
      <c r="G116" s="12" t="n">
        <v>0.9001013187183924</v>
      </c>
      <c r="H116" s="11" t="n">
        <v>2.4503</v>
      </c>
      <c r="I116" s="11" t="n">
        <v>10399988062902.96</v>
      </c>
      <c r="J116" s="9" t="inlineStr">
        <is>
          <t>OK</t>
        </is>
      </c>
    </row>
    <row r="117">
      <c r="A117" s="9" t="n">
        <v>49</v>
      </c>
      <c r="B117" s="9" t="n">
        <v>32</v>
      </c>
      <c r="C117" s="9" t="n">
        <v>17</v>
      </c>
      <c r="D117" s="9" t="n">
        <v>17</v>
      </c>
      <c r="E117" s="12" t="n">
        <v>0.9001</v>
      </c>
      <c r="F117" s="12" t="n">
        <v>0.9001326530612245</v>
      </c>
      <c r="G117" s="12" t="n">
        <v>0.9001026933277161</v>
      </c>
      <c r="H117" s="11" t="n">
        <v>2.5945</v>
      </c>
      <c r="I117" s="11" t="n">
        <v>5849993285382.916</v>
      </c>
      <c r="J117" s="9" t="inlineStr">
        <is>
          <t>OK</t>
        </is>
      </c>
    </row>
    <row r="118">
      <c r="A118" s="9" t="n">
        <v>49</v>
      </c>
      <c r="B118" s="9" t="n">
        <v>33</v>
      </c>
      <c r="C118" s="9" t="n">
        <v>16</v>
      </c>
      <c r="D118" s="9" t="n">
        <v>16</v>
      </c>
      <c r="E118" s="12" t="n">
        <v>0.9001</v>
      </c>
      <c r="F118" s="12" t="n">
        <v>0.9001142857142858</v>
      </c>
      <c r="G118" s="12" t="n">
        <v>0.9001010524660124</v>
      </c>
      <c r="H118" s="11" t="n">
        <v>2.7566</v>
      </c>
      <c r="I118" s="11" t="n">
        <v>3013632904591.199</v>
      </c>
      <c r="J118" s="9" t="inlineStr">
        <is>
          <t>OK</t>
        </is>
      </c>
    </row>
    <row r="119">
      <c r="A119" s="9" t="n">
        <v>49</v>
      </c>
      <c r="B119" s="9" t="n">
        <v>34</v>
      </c>
      <c r="C119" s="9" t="n">
        <v>15</v>
      </c>
      <c r="D119" s="9" t="n">
        <v>15</v>
      </c>
      <c r="E119" s="12" t="n">
        <v>0.9001</v>
      </c>
      <c r="F119" s="12" t="n">
        <v>0.9001224489795918</v>
      </c>
      <c r="G119" s="12" t="n">
        <v>0.9001021136865649</v>
      </c>
      <c r="H119" s="11" t="n">
        <v>2.9404</v>
      </c>
      <c r="I119" s="11" t="n">
        <v>1418180190395.858</v>
      </c>
      <c r="J119" s="9" t="inlineStr">
        <is>
          <t>OK</t>
        </is>
      </c>
    </row>
    <row r="120">
      <c r="A120" s="9" t="n">
        <v>49</v>
      </c>
      <c r="B120" s="9" t="n">
        <v>35</v>
      </c>
      <c r="C120" s="9" t="n">
        <v>14</v>
      </c>
      <c r="D120" s="9" t="n">
        <v>14</v>
      </c>
      <c r="E120" s="12" t="n">
        <v>0.9001000000000001</v>
      </c>
      <c r="F120" s="12" t="n">
        <v>0.9001142857142856</v>
      </c>
      <c r="G120" s="12" t="n">
        <v>0.9001013823384141</v>
      </c>
      <c r="H120" s="11" t="n">
        <v>3.1504</v>
      </c>
      <c r="I120" s="11" t="n">
        <v>607791510169.6537</v>
      </c>
      <c r="J120" s="9" t="inlineStr">
        <is>
          <t>OK</t>
        </is>
      </c>
    </row>
    <row r="121">
      <c r="A121" s="9" t="n">
        <v>49</v>
      </c>
      <c r="B121" s="9" t="n">
        <v>36</v>
      </c>
      <c r="C121" s="9" t="n">
        <v>13</v>
      </c>
      <c r="D121" s="9" t="n">
        <v>13</v>
      </c>
      <c r="E121" s="12" t="n">
        <v>0.9001000000000003</v>
      </c>
      <c r="F121" s="12" t="n">
        <v>0.9001040816326531</v>
      </c>
      <c r="G121" s="12" t="n">
        <v>0.9001006733710262</v>
      </c>
      <c r="H121" s="11" t="n">
        <v>3.3927</v>
      </c>
      <c r="I121" s="11" t="n">
        <v>236363365065.9765</v>
      </c>
      <c r="J121" s="9" t="inlineStr">
        <is>
          <t>OK</t>
        </is>
      </c>
    </row>
    <row r="122">
      <c r="A122" s="9" t="n">
        <v>49</v>
      </c>
      <c r="B122" s="9" t="n">
        <v>37</v>
      </c>
      <c r="C122" s="9" t="n">
        <v>12</v>
      </c>
      <c r="D122" s="9" t="n">
        <v>12</v>
      </c>
      <c r="E122" s="12" t="n">
        <v>0.900100000000001</v>
      </c>
      <c r="F122" s="12" t="n">
        <v>0.9001224489795919</v>
      </c>
      <c r="G122" s="12" t="n">
        <v>0.900102147181854</v>
      </c>
      <c r="H122" s="11" t="n">
        <v>3.6755</v>
      </c>
      <c r="I122" s="11" t="n">
        <v>83046587725.8837</v>
      </c>
      <c r="J122" s="9" t="inlineStr">
        <is>
          <t>OK</t>
        </is>
      </c>
    </row>
    <row r="123">
      <c r="A123" s="9" t="n">
        <v>49</v>
      </c>
      <c r="B123" s="9" t="n">
        <v>38</v>
      </c>
      <c r="C123" s="9" t="n">
        <v>11</v>
      </c>
      <c r="D123" s="9" t="n">
        <v>11</v>
      </c>
      <c r="E123" s="12" t="n">
        <v>0.9001000000000035</v>
      </c>
      <c r="F123" s="12" t="n">
        <v>0.9001142857142858</v>
      </c>
      <c r="G123" s="12" t="n">
        <v>0.9001014890017458</v>
      </c>
      <c r="H123" s="11" t="n">
        <v>4.0096</v>
      </c>
      <c r="I123" s="11" t="n">
        <v>26225238229.2265</v>
      </c>
      <c r="J123" s="9" t="inlineStr">
        <is>
          <t>OK</t>
        </is>
      </c>
    </row>
    <row r="124">
      <c r="A124" s="9" t="n">
        <v>49</v>
      </c>
      <c r="B124" s="9" t="n">
        <v>39</v>
      </c>
      <c r="C124" s="9" t="n">
        <v>10</v>
      </c>
      <c r="D124" s="9" t="n">
        <v>10</v>
      </c>
      <c r="E124" s="12" t="n">
        <v>0.9001000000000121</v>
      </c>
      <c r="F124" s="12" t="n">
        <v>0.9001033163265306</v>
      </c>
      <c r="G124" s="12" t="n">
        <v>0.9001005681631892</v>
      </c>
      <c r="H124" s="11" t="n">
        <v>4.4105</v>
      </c>
      <c r="I124" s="11" t="n">
        <v>7396862064.6537</v>
      </c>
      <c r="J124" s="9" t="inlineStr">
        <is>
          <t>OK</t>
        </is>
      </c>
    </row>
    <row r="125">
      <c r="A125" s="9" t="n">
        <v>49</v>
      </c>
      <c r="B125" s="9" t="n">
        <v>40</v>
      </c>
      <c r="C125" s="9" t="n">
        <v>9</v>
      </c>
      <c r="D125" s="9" t="n">
        <v>9</v>
      </c>
      <c r="E125" s="12" t="n">
        <v>0.9001000000000487</v>
      </c>
      <c r="F125" s="12" t="n">
        <v>0.9001102040816326</v>
      </c>
      <c r="G125" s="12" t="n">
        <v>0.9001012846788926</v>
      </c>
      <c r="H125" s="11" t="n">
        <v>4.9006</v>
      </c>
      <c r="I125" s="11" t="n">
        <v>1849215516.1635</v>
      </c>
      <c r="J125" s="9" t="inlineStr">
        <is>
          <t>OK</t>
        </is>
      </c>
    </row>
    <row r="126">
      <c r="A126" s="9" t="n">
        <v>49</v>
      </c>
      <c r="B126" s="9" t="n">
        <v>41</v>
      </c>
      <c r="C126" s="9" t="n">
        <v>8</v>
      </c>
      <c r="D126" s="9" t="n">
        <v>8</v>
      </c>
      <c r="E126" s="12" t="n">
        <v>0.9001</v>
      </c>
      <c r="F126" s="12" t="n">
        <v>0.9001142857142858</v>
      </c>
      <c r="G126" s="12" t="n">
        <v>0.9001018247439279</v>
      </c>
      <c r="H126" s="11" t="n">
        <v>5.5132</v>
      </c>
      <c r="I126" s="11" t="n">
        <v>405925357.2067</v>
      </c>
      <c r="J126" s="9" t="inlineStr">
        <is>
          <t>OK</t>
        </is>
      </c>
    </row>
    <row r="127">
      <c r="A127" s="9" t="n">
        <v>49</v>
      </c>
      <c r="B127" s="9" t="n">
        <v>42</v>
      </c>
      <c r="C127" s="9" t="n">
        <v>7</v>
      </c>
      <c r="D127" s="9" t="n">
        <v>7</v>
      </c>
      <c r="E127" s="12" t="n">
        <v>0.9001</v>
      </c>
      <c r="F127" s="12" t="n">
        <v>0.9001001139817629</v>
      </c>
      <c r="G127" s="12" t="n">
        <v>0.9001000173916995</v>
      </c>
      <c r="H127" s="11" t="n">
        <v>6.3007</v>
      </c>
      <c r="I127" s="11" t="n">
        <v>77319115.6585</v>
      </c>
      <c r="J127" s="9" t="inlineStr">
        <is>
          <t>OK</t>
        </is>
      </c>
    </row>
    <row r="128">
      <c r="A128" s="9" t="n">
        <v>49</v>
      </c>
      <c r="B128" s="9" t="n">
        <v>43</v>
      </c>
      <c r="C128" s="9" t="n">
        <v>6</v>
      </c>
      <c r="D128" s="9" t="n">
        <v>6</v>
      </c>
      <c r="E128" s="12" t="n">
        <v>0.9001000000071512</v>
      </c>
      <c r="F128" s="12" t="n">
        <v>0.9001102040816328</v>
      </c>
      <c r="G128" s="12" t="n">
        <v>0.9001018438600736</v>
      </c>
      <c r="H128" s="11" t="n">
        <v>7.3509</v>
      </c>
      <c r="I128" s="11" t="n">
        <v>12586832.7817</v>
      </c>
      <c r="J128" s="9" t="inlineStr">
        <is>
          <t>OK</t>
        </is>
      </c>
    </row>
    <row r="129">
      <c r="A129" s="9" t="n">
        <v>49</v>
      </c>
      <c r="B129" s="9" t="n">
        <v>44</v>
      </c>
      <c r="C129" s="9" t="n">
        <v>5</v>
      </c>
      <c r="D129" s="9" t="n">
        <v>5</v>
      </c>
      <c r="E129" s="12" t="n">
        <v>0.9001000000524416</v>
      </c>
      <c r="F129" s="12" t="n">
        <v>0.9001020408163264</v>
      </c>
      <c r="G129" s="12" t="n">
        <v>0.9001004830917875</v>
      </c>
      <c r="H129" s="11" t="n">
        <v>8.821</v>
      </c>
      <c r="I129" s="11" t="n">
        <v>1716386.2885</v>
      </c>
      <c r="J129" s="9" t="inlineStr">
        <is>
          <t>OK</t>
        </is>
      </c>
    </row>
    <row r="130">
      <c r="A130" s="9" t="n">
        <v>49</v>
      </c>
      <c r="B130" s="9" t="n">
        <v>45</v>
      </c>
      <c r="C130" s="9" t="n">
        <v>4</v>
      </c>
      <c r="D130" s="9" t="n">
        <v>4</v>
      </c>
      <c r="E130" s="12" t="n">
        <v>0.9001000004719741</v>
      </c>
      <c r="F130" s="12" t="n">
        <v>0.9001061224489797</v>
      </c>
      <c r="G130" s="12" t="n">
        <v>0.9001016637089618</v>
      </c>
      <c r="H130" s="11" t="n">
        <v>11.0263</v>
      </c>
      <c r="I130" s="11" t="n">
        <v>190709.5877</v>
      </c>
      <c r="J130" s="9" t="inlineStr">
        <is>
          <t>OK</t>
        </is>
      </c>
    </row>
    <row r="131">
      <c r="A131" s="9" t="n">
        <v>49</v>
      </c>
      <c r="B131" s="9" t="n">
        <v>46</v>
      </c>
      <c r="C131" s="9" t="n">
        <v>3</v>
      </c>
      <c r="D131" s="9" t="n">
        <v>3</v>
      </c>
      <c r="E131" s="12" t="n">
        <v>0.9001000054277031</v>
      </c>
      <c r="F131" s="12" t="n">
        <v>0.9001040816326532</v>
      </c>
      <c r="G131" s="12" t="n">
        <v>0.9001014473874657</v>
      </c>
      <c r="H131" s="11" t="n">
        <v>14.7017</v>
      </c>
      <c r="I131" s="11" t="n">
        <v>16583.4425</v>
      </c>
      <c r="J131" s="9" t="inlineStr">
        <is>
          <t>OK</t>
        </is>
      </c>
    </row>
    <row r="132">
      <c r="A132" s="9" t="n">
        <v>49</v>
      </c>
      <c r="B132" s="9" t="n">
        <v>47</v>
      </c>
      <c r="C132" s="9" t="n">
        <v>2</v>
      </c>
      <c r="D132" s="9" t="n">
        <v>2</v>
      </c>
      <c r="E132" s="12" t="n">
        <v>0.9000999999999999</v>
      </c>
      <c r="F132" s="12" t="n">
        <v>0.9001020408163265</v>
      </c>
      <c r="G132" s="12" t="n">
        <v>0.9001010204081632</v>
      </c>
      <c r="H132" s="11" t="n">
        <v>22.0525</v>
      </c>
      <c r="I132" s="11" t="n">
        <v>1058.5176</v>
      </c>
      <c r="J132" s="9" t="inlineStr">
        <is>
          <t>OK</t>
        </is>
      </c>
    </row>
    <row r="133">
      <c r="A133" s="9" t="n">
        <v>49</v>
      </c>
      <c r="B133" s="9" t="n">
        <v>48</v>
      </c>
      <c r="C133" s="9" t="n">
        <v>1</v>
      </c>
      <c r="D133" s="9" t="n">
        <v>1</v>
      </c>
      <c r="E133" s="12" t="n">
        <v>0.9001</v>
      </c>
      <c r="F133" s="12" t="n">
        <v>0.9001</v>
      </c>
      <c r="G133" s="12" t="n">
        <v>0.9001</v>
      </c>
      <c r="H133" s="11" t="n">
        <v>44.1049</v>
      </c>
      <c r="I133" s="11" t="n">
        <v>44.1049</v>
      </c>
      <c r="J133" s="9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7" customWidth="1" min="3" max="3"/>
    <col width="36" customWidth="1" min="4" max="4"/>
  </cols>
  <sheetData>
    <row r="1">
      <c r="A1" s="1" t="inlineStr">
        <is>
          <t>Validation</t>
        </is>
      </c>
    </row>
    <row r="2">
      <c r="A2" s="2" t="inlineStr">
        <is>
          <t>Global controls, RTP boundaries, completeness checks</t>
        </is>
      </c>
    </row>
    <row r="3"/>
    <row r="4">
      <c r="A4" s="8" t="inlineStr">
        <is>
          <t>Control</t>
        </is>
      </c>
      <c r="B4" s="8" t="inlineStr">
        <is>
          <t>Value</t>
        </is>
      </c>
      <c r="C4" s="8" t="inlineStr">
        <is>
          <t>Target / Rule</t>
        </is>
      </c>
      <c r="D4" s="8" t="inlineStr">
        <is>
          <t>Status</t>
        </is>
      </c>
    </row>
    <row r="5">
      <c r="A5" s="9" t="inlineStr">
        <is>
          <t>Target RTP</t>
        </is>
      </c>
      <c r="B5" s="13">
        <f>Controls!B4</f>
        <v/>
      </c>
      <c r="C5" s="9" t="inlineStr">
        <is>
          <t>&gt;90% and &lt;100%</t>
        </is>
      </c>
      <c r="D5" s="9">
        <f>IF(AND(B5&gt;0.9,B5&lt;1),"OK","CHECK")</f>
        <v/>
      </c>
    </row>
    <row r="6">
      <c r="A6" s="9" t="inlineStr">
        <is>
          <t>Total payout rows</t>
        </is>
      </c>
      <c r="B6" s="9">
        <f>ROWS(Payout_Table!A4:A2265)</f>
        <v/>
      </c>
      <c r="C6" s="9" t="inlineStr">
        <is>
          <t>Must equal 2262</t>
        </is>
      </c>
      <c r="D6" s="9">
        <f>IF(B6=2262,"OK","CHECK")</f>
        <v/>
      </c>
    </row>
    <row r="7">
      <c r="A7" s="9" t="inlineStr">
        <is>
          <t>Configs count</t>
        </is>
      </c>
      <c r="B7" s="9">
        <f>ROWS(Config_Summary!A4:A133)</f>
        <v/>
      </c>
      <c r="C7" s="9" t="inlineStr">
        <is>
          <t>Must equal 130</t>
        </is>
      </c>
      <c r="D7" s="9">
        <f>IF(B7=130,"OK","CHECK")</f>
        <v/>
      </c>
    </row>
    <row r="8">
      <c r="A8" s="9" t="inlineStr">
        <is>
          <t>Minimum actual RTP</t>
        </is>
      </c>
      <c r="B8" s="12">
        <f>MIN(Payout_Table!G4:G2265)</f>
        <v/>
      </c>
      <c r="C8" s="9" t="inlineStr">
        <is>
          <t>&gt;90%</t>
        </is>
      </c>
      <c r="D8" s="9">
        <f>IF(B8&gt;0.9,"OK","CHECK")</f>
        <v/>
      </c>
    </row>
    <row r="9">
      <c r="A9" s="9" t="inlineStr">
        <is>
          <t>Maximum actual RTP</t>
        </is>
      </c>
      <c r="B9" s="12">
        <f>MAX(Payout_Table!G4:G2265)</f>
        <v/>
      </c>
      <c r="C9" s="9" t="inlineStr">
        <is>
          <t>&lt;100%</t>
        </is>
      </c>
      <c r="D9" s="9">
        <f>IF(B9&lt;1,"OK","CHECK")</f>
        <v/>
      </c>
    </row>
    <row r="10">
      <c r="A10" s="9" t="inlineStr">
        <is>
          <t>Rows flagged CHECK</t>
        </is>
      </c>
      <c r="B10" s="9">
        <f>COUNTIF(Payout_Table!J4:J2265,"CHECK")</f>
        <v/>
      </c>
      <c r="C10" s="9" t="inlineStr">
        <is>
          <t>Must equal 0</t>
        </is>
      </c>
      <c r="D10" s="9">
        <f>IF(B10=0,"OK","CHECK")</f>
        <v/>
      </c>
    </row>
    <row r="11">
      <c r="A11" s="9" t="inlineStr">
        <is>
          <t>Configs flagged CHECK</t>
        </is>
      </c>
      <c r="B11" s="9">
        <f>COUNTIF(Config_Summary!J4:J133,"CHECK")</f>
        <v/>
      </c>
      <c r="C11" s="9" t="inlineStr">
        <is>
          <t>Must equal 0</t>
        </is>
      </c>
      <c r="D11" s="9">
        <f>IF(B11=0,"OK","CHECK")</f>
        <v/>
      </c>
    </row>
  </sheetData>
  <conditionalFormatting sqref="D5:D11">
    <cfRule type="cellIs" priority="1" operator="equal" dxfId="0">
      <formula>"OK"</formula>
    </cfRule>
    <cfRule type="cellIs" priority="2" operator="equal" dxfId="1">
      <formula>"CHECK"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2026-03-22T22:50:03Z</dcterms:created>
  <dcterms:modified xmlns:dcterms="http://purl.org/dc/terms/" xmlns:xsi="http://www.w3.org/2001/XMLSchema-instance" xsi:type="dcterms:W3CDTF">2026-03-22T22:50:04Z</dcterms:modified>
</cp:coreProperties>
</file>